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对比" sheetId="2" r:id="rId1"/>
    <sheet name="新增留存-iOS trash_全量数据_20250519_20" sheetId="1" r:id="rId2"/>
  </sheets>
  <definedNames>
    <definedName name="_xlnm._FilterDatabase" localSheetId="1" hidden="1">'新增留存-iOS trash_全量数据_20250519_20'!$A$1:$AI$349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<sst xmlns="http://schemas.openxmlformats.org/spreadsheetml/2006/main" count="5378" uniqueCount="111">
  <si>
    <t>初始事件发生时间</t>
  </si>
  <si>
    <t>app版本</t>
  </si>
  <si>
    <t>游戏安装</t>
  </si>
  <si>
    <t>ARPU</t>
  </si>
  <si>
    <t>指标</t>
  </si>
  <si>
    <t>当日</t>
  </si>
  <si>
    <t>1日</t>
  </si>
  <si>
    <t>2日</t>
  </si>
  <si>
    <t>3日</t>
  </si>
  <si>
    <t>4日</t>
  </si>
  <si>
    <t>5日</t>
  </si>
  <si>
    <t>6日</t>
  </si>
  <si>
    <t>RR_7</t>
  </si>
  <si>
    <t>一阶登录比</t>
  </si>
  <si>
    <t>LT</t>
  </si>
  <si>
    <t>127总样本量N1</t>
  </si>
  <si>
    <t>126总样本量N2</t>
  </si>
  <si>
    <t>2025-06-18(三)</t>
  </si>
  <si>
    <t>1.2.7</t>
  </si>
  <si>
    <t>留存人数</t>
  </si>
  <si>
    <t>127成功量X1</t>
  </si>
  <si>
    <t>2025-06-19(四)</t>
  </si>
  <si>
    <t>126成功量X2</t>
  </si>
  <si>
    <t>2025-06-20(五)</t>
  </si>
  <si>
    <t>2025-06-21(六)</t>
  </si>
  <si>
    <t>P1</t>
  </si>
  <si>
    <t>2025-06-22(日)</t>
  </si>
  <si>
    <t>P2</t>
  </si>
  <si>
    <t>2025-06-23(一)</t>
  </si>
  <si>
    <t>p</t>
  </si>
  <si>
    <t>2025-06-24(二)</t>
  </si>
  <si>
    <t>Z</t>
  </si>
  <si>
    <t>2025-06-25(三)</t>
  </si>
  <si>
    <t>2025-06-09(一)</t>
  </si>
  <si>
    <t>1.2.6</t>
  </si>
  <si>
    <t>RR_5</t>
  </si>
  <si>
    <t>二阶登录比</t>
  </si>
  <si>
    <t>2025-06-10(二)</t>
  </si>
  <si>
    <t>2025-06-11(三)</t>
  </si>
  <si>
    <t>2025-06-12(四)</t>
  </si>
  <si>
    <t>2025-06-13(五)</t>
  </si>
  <si>
    <t>2025-06-14(六)</t>
  </si>
  <si>
    <t>2025-06-15(日)</t>
  </si>
  <si>
    <t>2025-06-16(一)</t>
  </si>
  <si>
    <t>RR_3</t>
  </si>
  <si>
    <t>RR_7/RR_3</t>
  </si>
  <si>
    <t>RR_2</t>
  </si>
  <si>
    <t>游戏安装用户数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</si>
  <si>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</si>
  <si>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</si>
  <si>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</si>
  <si>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</si>
  <si>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</si>
  <si>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</si>
  <si>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</si>
  <si>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</si>
  <si>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</si>
  <si>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</si>
  <si>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</si>
  <si>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</si>
  <si>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</si>
  <si>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</si>
  <si>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</si>
  <si>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</si>
  <si>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</si>
  <si>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</si>
  <si>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</si>
  <si>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</si>
  <si>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</si>
  <si>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</si>
  <si>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</si>
  <si>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</si>
  <si>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阶段值</t>
  </si>
  <si>
    <t>总体</t>
  </si>
  <si>
    <t>留存率</t>
  </si>
  <si>
    <t>2025-05-19(一)</t>
  </si>
  <si>
    <t>2025-05-20(二)</t>
  </si>
  <si>
    <t>2025-05-21(三)</t>
  </si>
  <si>
    <t>2025-05-22(四)</t>
  </si>
  <si>
    <t>2025-05-23(五)</t>
  </si>
  <si>
    <t>2025-05-24(六)</t>
  </si>
  <si>
    <t>2025-05-25(日)</t>
  </si>
  <si>
    <t>2025-05-26(一)</t>
  </si>
  <si>
    <t>2025-05-27(二)</t>
  </si>
  <si>
    <t>2025-05-28(三)</t>
  </si>
  <si>
    <t>2025-05-29(四)</t>
  </si>
  <si>
    <t>2025-05-30(五)</t>
  </si>
  <si>
    <t>2025-05-31(六)</t>
  </si>
  <si>
    <t>2025-06-01(日)</t>
  </si>
  <si>
    <t>2025-06-02(一)</t>
  </si>
  <si>
    <t>2025-06-03(二)</t>
  </si>
  <si>
    <t>-</t>
  </si>
  <si>
    <t>2025-06-04(三)</t>
  </si>
  <si>
    <t>2025-06-05(四)</t>
  </si>
  <si>
    <t>2025-06-06(五)</t>
  </si>
  <si>
    <t>2025-06-07(六)</t>
  </si>
  <si>
    <t>2025-06-08(日)</t>
  </si>
  <si>
    <t>2025-06-17(二)</t>
  </si>
  <si>
    <t>2025-06-26(四)</t>
  </si>
  <si>
    <t>2025-06-27(五)</t>
  </si>
  <si>
    <t>2025-06-28(六)</t>
  </si>
  <si>
    <t>2025-06-29(日)</t>
  </si>
  <si>
    <t>2025-06-30(一)</t>
  </si>
  <si>
    <t>2025-07-01(二)</t>
  </si>
  <si>
    <t>2025-07-02(三)</t>
  </si>
  <si>
    <t>1.2.8</t>
  </si>
  <si>
    <t>1.2.5</t>
  </si>
  <si>
    <t>1.2.4</t>
  </si>
  <si>
    <t>1.2.3</t>
  </si>
  <si>
    <t>1.2.0</t>
  </si>
  <si>
    <t>1.1.8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</si>
</sst>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_);[Red]\(0.00\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Fill="1">
      <alignment vertical="center"/>
    </xf>
    <xf numFmtId="0" fontId="1" fillId="3" borderId="0" xfId="0" applyFont="1" applyFill="1">
      <alignment vertical="center"/>
    </xf>
    <xf numFmtId="176" fontId="1" fillId="0" borderId="0" xfId="0" applyNumberFormat="1" applyFont="1">
      <alignment vertical="center"/>
    </xf>
    <xf numFmtId="0" fontId="1" fillId="4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7" fontId="3" fillId="0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1" fillId="5" borderId="0" xfId="0" applyFont="1" applyFill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176" fontId="1" fillId="4" borderId="0" xfId="0" applyNumberFormat="1" applyFont="1" applyFill="1" applyBorder="1" applyAlignment="1">
      <alignment vertical="center"/>
    </xf>
    <xf numFmtId="177" fontId="1" fillId="4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数据对比!$D$1</c:f>
              <c:strCache>
                <c:ptCount val="1"/>
                <c:pt idx="0">
                  <c:v>ARPU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数据对比!$A$2:$B$20</c:f>
              <c:multiLvlStrCache>
                <c:ptCount val="16"/>
                <c:lvl>
                  <c:pt idx="0">
                    <c:v>1.2.7</c:v>
                  </c:pt>
                  <c:pt idx="1">
                    <c:v>1.2.7</c:v>
                  </c:pt>
                  <c:pt idx="2">
                    <c:v>1.2.7</c:v>
                  </c:pt>
                  <c:pt idx="3">
                    <c:v>1.2.7</c:v>
                  </c:pt>
                  <c:pt idx="4">
                    <c:v>1.2.7</c:v>
                  </c:pt>
                  <c:pt idx="5">
                    <c:v>1.2.7</c:v>
                  </c:pt>
                  <c:pt idx="6">
                    <c:v>1.2.7</c:v>
                  </c:pt>
                  <c:pt idx="7">
                    <c:v>1.2.7</c:v>
                  </c:pt>
                  <c:pt idx="8">
                    <c:v>1.2.6</c:v>
                  </c:pt>
                  <c:pt idx="9">
                    <c:v>1.2.6</c:v>
                  </c:pt>
                  <c:pt idx="10">
                    <c:v>1.2.6</c:v>
                  </c:pt>
                  <c:pt idx="11">
                    <c:v>1.2.6</c:v>
                  </c:pt>
                  <c:pt idx="12">
                    <c:v>1.2.6</c:v>
                  </c:pt>
                  <c:pt idx="13">
                    <c:v>1.2.6</c:v>
                  </c:pt>
                  <c:pt idx="14">
                    <c:v>1.2.6</c:v>
                  </c:pt>
                  <c:pt idx="15">
                    <c:v>1.2.6</c:v>
                  </c:pt>
                </c:lvl>
                <c:lvl>
                  <c:pt idx="0">
                    <c:v>2025-06-18(三)</c:v>
                  </c:pt>
                  <c:pt idx="1">
                    <c:v>2025-06-19(四)</c:v>
                  </c:pt>
                  <c:pt idx="2">
                    <c:v>2025-06-20(五)</c:v>
                  </c:pt>
                  <c:pt idx="3">
                    <c:v>2025-06-21(六)</c:v>
                  </c:pt>
                  <c:pt idx="4">
                    <c:v>2025-06-22(日)</c:v>
                  </c:pt>
                  <c:pt idx="5">
                    <c:v>2025-06-23(一)</c:v>
                  </c:pt>
                  <c:pt idx="6">
                    <c:v>2025-06-24(二)</c:v>
                  </c:pt>
                  <c:pt idx="7">
                    <c:v>2025-06-25(三)</c:v>
                  </c:pt>
                  <c:pt idx="8">
                    <c:v>2025-06-09(一)</c:v>
                  </c:pt>
                  <c:pt idx="9">
                    <c:v>2025-06-10(二)</c:v>
                  </c:pt>
                  <c:pt idx="10">
                    <c:v>2025-06-11(三)</c:v>
                  </c:pt>
                  <c:pt idx="11">
                    <c:v>2025-06-12(四)</c:v>
                  </c:pt>
                  <c:pt idx="12">
                    <c:v>2025-06-13(五)</c:v>
                  </c:pt>
                  <c:pt idx="13">
                    <c:v>2025-06-14(六)</c:v>
                  </c:pt>
                  <c:pt idx="14">
                    <c:v>2025-06-15(日)</c:v>
                  </c:pt>
                  <c:pt idx="15">
                    <c:v>2025-06-16(一)</c:v>
                  </c:pt>
                </c:lvl>
              </c:multiLvlStrCache>
            </c:multiLvlStrRef>
          </c:cat>
          <c:val>
            <c:numRef>
              <c:f>数据对比!$D$2:$D$20</c:f>
              <c:numCache>
                <c:formatCode>0.0000_);[Red]\(0.0000\)</c:formatCode>
                <c:ptCount val="16"/>
                <c:pt idx="0">
                  <c:v>0.3095</c:v>
                </c:pt>
                <c:pt idx="1">
                  <c:v>0.4182</c:v>
                </c:pt>
                <c:pt idx="2">
                  <c:v>0.324</c:v>
                </c:pt>
                <c:pt idx="3">
                  <c:v>0.2335</c:v>
                </c:pt>
                <c:pt idx="4">
                  <c:v>0.4386</c:v>
                </c:pt>
                <c:pt idx="5">
                  <c:v>0.4208</c:v>
                </c:pt>
                <c:pt idx="6">
                  <c:v>0.3363</c:v>
                </c:pt>
                <c:pt idx="7">
                  <c:v>0.3017</c:v>
                </c:pt>
                <c:pt idx="8">
                  <c:v>0.3463</c:v>
                </c:pt>
                <c:pt idx="9">
                  <c:v>0.2045</c:v>
                </c:pt>
                <c:pt idx="10">
                  <c:v>0.175</c:v>
                </c:pt>
                <c:pt idx="11">
                  <c:v>0.2329</c:v>
                </c:pt>
                <c:pt idx="12">
                  <c:v>0.2354</c:v>
                </c:pt>
                <c:pt idx="13">
                  <c:v>0.2898</c:v>
                </c:pt>
                <c:pt idx="14">
                  <c:v>0.2279</c:v>
                </c:pt>
                <c:pt idx="15">
                  <c:v>0.4499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17983"/>
        <c:axId val="6253411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数据对比!$C$1</c15:sqref>
                        </c15:formulaRef>
                      </c:ext>
                    </c:extLst>
                    <c:strCache>
                      <c:ptCount val="1"/>
                      <c:pt idx="0">
                        <c:v>游戏安装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数据对比!$A$2:$B$20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1.2.7</c:v>
                        </c:pt>
                        <c:pt idx="1">
                          <c:v>1.2.7</c:v>
                        </c:pt>
                        <c:pt idx="2">
                          <c:v>1.2.7</c:v>
                        </c:pt>
                        <c:pt idx="3">
                          <c:v>1.2.7</c:v>
                        </c:pt>
                        <c:pt idx="4">
                          <c:v>1.2.7</c:v>
                        </c:pt>
                        <c:pt idx="5">
                          <c:v>1.2.7</c:v>
                        </c:pt>
                        <c:pt idx="6">
                          <c:v>1.2.7</c:v>
                        </c:pt>
                        <c:pt idx="7">
                          <c:v>1.2.7</c:v>
                        </c:pt>
                        <c:pt idx="8">
                          <c:v>1.2.6</c:v>
                        </c:pt>
                        <c:pt idx="9">
                          <c:v>1.2.6</c:v>
                        </c:pt>
                        <c:pt idx="10">
                          <c:v>1.2.6</c:v>
                        </c:pt>
                        <c:pt idx="11">
                          <c:v>1.2.6</c:v>
                        </c:pt>
                        <c:pt idx="12">
                          <c:v>1.2.6</c:v>
                        </c:pt>
                        <c:pt idx="13">
                          <c:v>1.2.6</c:v>
                        </c:pt>
                        <c:pt idx="14">
                          <c:v>1.2.6</c:v>
                        </c:pt>
                        <c:pt idx="15">
                          <c:v>1.2.6</c:v>
                        </c:pt>
                      </c:lvl>
                      <c:lvl>
                        <c:pt idx="0">
                          <c:v>2025-06-18(三)</c:v>
                        </c:pt>
                        <c:pt idx="1">
                          <c:v>2025-06-19(四)</c:v>
                        </c:pt>
                        <c:pt idx="2">
                          <c:v>2025-06-20(五)</c:v>
                        </c:pt>
                        <c:pt idx="3">
                          <c:v>2025-06-21(六)</c:v>
                        </c:pt>
                        <c:pt idx="4">
                          <c:v>2025-06-22(日)</c:v>
                        </c:pt>
                        <c:pt idx="5">
                          <c:v>2025-06-23(一)</c:v>
                        </c:pt>
                        <c:pt idx="6">
                          <c:v>2025-06-24(二)</c:v>
                        </c:pt>
                        <c:pt idx="7">
                          <c:v>2025-06-25(三)</c:v>
                        </c:pt>
                        <c:pt idx="8">
                          <c:v>2025-06-09(一)</c:v>
                        </c:pt>
                        <c:pt idx="9">
                          <c:v>2025-06-10(二)</c:v>
                        </c:pt>
                        <c:pt idx="10">
                          <c:v>2025-06-11(三)</c:v>
                        </c:pt>
                        <c:pt idx="11">
                          <c:v>2025-06-12(四)</c:v>
                        </c:pt>
                        <c:pt idx="12">
                          <c:v>2025-06-13(五)</c:v>
                        </c:pt>
                        <c:pt idx="13">
                          <c:v>2025-06-14(六)</c:v>
                        </c:pt>
                        <c:pt idx="14">
                          <c:v>2025-06-15(日)</c:v>
                        </c:pt>
                        <c:pt idx="15">
                          <c:v>2025-06-16(一)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数据对比!$C$2:$C$20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308</c:v>
                      </c:pt>
                      <c:pt idx="1">
                        <c:v>354</c:v>
                      </c:pt>
                      <c:pt idx="2">
                        <c:v>374</c:v>
                      </c:pt>
                      <c:pt idx="3">
                        <c:v>420</c:v>
                      </c:pt>
                      <c:pt idx="4">
                        <c:v>582</c:v>
                      </c:pt>
                      <c:pt idx="5">
                        <c:v>380</c:v>
                      </c:pt>
                      <c:pt idx="6">
                        <c:v>336</c:v>
                      </c:pt>
                      <c:pt idx="7">
                        <c:v>385</c:v>
                      </c:pt>
                      <c:pt idx="8">
                        <c:v>498</c:v>
                      </c:pt>
                      <c:pt idx="9">
                        <c:v>630</c:v>
                      </c:pt>
                      <c:pt idx="10">
                        <c:v>361</c:v>
                      </c:pt>
                      <c:pt idx="11">
                        <c:v>317</c:v>
                      </c:pt>
                      <c:pt idx="12">
                        <c:v>353</c:v>
                      </c:pt>
                      <c:pt idx="13">
                        <c:v>434</c:v>
                      </c:pt>
                      <c:pt idx="14">
                        <c:v>730</c:v>
                      </c:pt>
                      <c:pt idx="15">
                        <c:v>258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2417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34117"/>
        <c:crosses val="autoZero"/>
        <c:auto val="1"/>
        <c:lblAlgn val="ctr"/>
        <c:lblOffset val="100"/>
        <c:noMultiLvlLbl val="0"/>
      </c:catAx>
      <c:valAx>
        <c:axId val="625341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1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20</xdr:row>
      <xdr:rowOff>22225</xdr:rowOff>
    </xdr:from>
    <xdr:to>
      <xdr:col>8</xdr:col>
      <xdr:colOff>26035</xdr:colOff>
      <xdr:row>37</xdr:row>
      <xdr:rowOff>50165</xdr:rowOff>
    </xdr:to>
    <xdr:graphicFrame>
      <xdr:nvGraphicFramePr>
        <xdr:cNvPr id="2" name="图表 1"/>
        <xdr:cNvGraphicFramePr/>
      </xdr:nvGraphicFramePr>
      <xdr:xfrm>
        <a:off x="9525" y="3565525"/>
        <a:ext cx="6009640" cy="3590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5"/>
  <sheetViews>
    <sheetView tabSelected="1" workbookViewId="0">
      <selection activeCell="K27" sqref="K27"/>
    </sheetView>
  </sheetViews>
  <sheetFormatPr defaultColWidth="9" defaultRowHeight="16.5"/>
  <cols>
    <col min="1" max="1" width="15.625" style="4" customWidth="1"/>
    <col min="2" max="2" width="9" style="10"/>
    <col min="3" max="3" width="9" style="4"/>
    <col min="4" max="4" width="9" style="11"/>
    <col min="5" max="5" width="9" style="4"/>
    <col min="6" max="12" width="9.00833333333333" style="4" customWidth="1"/>
    <col min="13" max="14" width="9" style="4"/>
    <col min="15" max="15" width="15.375" style="4" customWidth="1"/>
    <col min="16" max="16" width="8.25" style="4" customWidth="1"/>
    <col min="17" max="17" width="9" style="4"/>
    <col min="18" max="18" width="15.375" style="12" customWidth="1"/>
    <col min="19" max="19" width="9" style="12"/>
    <col min="20" max="16384" width="9" style="4"/>
  </cols>
  <sheetData>
    <row r="1" s="8" customFormat="1" ht="15" spans="1:19">
      <c r="A1" s="13" t="s">
        <v>0</v>
      </c>
      <c r="B1" s="14" t="s">
        <v>1</v>
      </c>
      <c r="C1" s="13" t="s">
        <v>2</v>
      </c>
      <c r="D1" s="15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3" t="s">
        <v>8</v>
      </c>
      <c r="J1" s="14" t="s">
        <v>9</v>
      </c>
      <c r="K1" s="13" t="s">
        <v>10</v>
      </c>
      <c r="L1" s="14" t="s">
        <v>11</v>
      </c>
      <c r="M1" s="8"/>
      <c r="N1" s="8"/>
      <c r="O1" s="25" t="s">
        <v>12</v>
      </c>
      <c r="P1" s="25"/>
      <c r="Q1" s="25"/>
      <c r="R1" s="30" t="s">
        <v>13</v>
      </c>
      <c r="S1" s="30"/>
    </row>
    <row r="2" hidden="1" spans="1:19">
      <c r="A2" s="16"/>
      <c r="B2" s="17"/>
      <c r="C2" s="9"/>
      <c r="D2" s="18"/>
      <c r="E2" s="19" t="s">
        <v>14</v>
      </c>
      <c r="F2" s="9"/>
      <c r="G2" s="19"/>
      <c r="H2" s="9"/>
      <c r="I2" s="9"/>
      <c r="J2" s="19"/>
      <c r="K2" s="9"/>
      <c r="L2" s="19"/>
      <c r="O2" s="26" t="s">
        <v>15</v>
      </c>
      <c r="P2" s="26">
        <f>SUM(F4:F11)</f>
        <v>3136</v>
      </c>
      <c r="Q2" s="26"/>
      <c r="R2" s="31" t="s">
        <v>15</v>
      </c>
      <c r="S2" s="31">
        <f>SUM(G4:G11)</f>
        <v>1173</v>
      </c>
    </row>
    <row r="3" hidden="1" spans="1:19">
      <c r="A3" s="16"/>
      <c r="B3" s="17"/>
      <c r="C3" s="9">
        <f>SUM(F4:F11)</f>
        <v>3136</v>
      </c>
      <c r="D3" s="19">
        <f>SUM(G4:L11)</f>
        <v>3469</v>
      </c>
      <c r="E3" s="20">
        <f>D3/C3</f>
        <v>1.1061862244898</v>
      </c>
      <c r="F3" s="9"/>
      <c r="G3" s="9"/>
      <c r="H3" s="9"/>
      <c r="I3" s="9"/>
      <c r="J3" s="19"/>
      <c r="K3" s="9"/>
      <c r="L3" s="19"/>
      <c r="O3" s="26" t="s">
        <v>16</v>
      </c>
      <c r="P3" s="26">
        <f>SUM(F13:F20)</f>
        <v>3579</v>
      </c>
      <c r="Q3" s="26"/>
      <c r="R3" s="31" t="s">
        <v>16</v>
      </c>
      <c r="S3" s="31">
        <f>SUM(G13:G20)</f>
        <v>1297</v>
      </c>
    </row>
    <row r="4" spans="1:19">
      <c r="A4" s="2" t="s">
        <v>17</v>
      </c>
      <c r="B4" s="21" t="s">
        <v>18</v>
      </c>
      <c r="C4" s="4">
        <v>308</v>
      </c>
      <c r="D4" s="11">
        <v>0.3095</v>
      </c>
      <c r="E4" s="2" t="s">
        <v>19</v>
      </c>
      <c r="F4" s="4">
        <v>308</v>
      </c>
      <c r="G4" s="7">
        <v>117</v>
      </c>
      <c r="H4" s="7">
        <v>79</v>
      </c>
      <c r="I4" s="4">
        <v>55</v>
      </c>
      <c r="J4" s="7">
        <v>49</v>
      </c>
      <c r="K4" s="4">
        <v>51</v>
      </c>
      <c r="L4" s="7">
        <v>41</v>
      </c>
      <c r="O4" s="26" t="s">
        <v>20</v>
      </c>
      <c r="P4" s="26">
        <f>SUM(L2:L12)</f>
        <v>303</v>
      </c>
      <c r="Q4" s="26"/>
      <c r="R4" s="31" t="s">
        <v>20</v>
      </c>
      <c r="S4" s="31">
        <f>SUM(H4:H11)</f>
        <v>703</v>
      </c>
    </row>
    <row r="5" spans="1:19">
      <c r="A5" s="2" t="s">
        <v>21</v>
      </c>
      <c r="B5" s="21" t="s">
        <v>18</v>
      </c>
      <c r="C5" s="4">
        <v>354</v>
      </c>
      <c r="D5" s="11">
        <v>0.4182</v>
      </c>
      <c r="E5" s="2" t="s">
        <v>19</v>
      </c>
      <c r="F5" s="4">
        <v>354</v>
      </c>
      <c r="G5" s="7">
        <v>137</v>
      </c>
      <c r="H5" s="7">
        <v>93</v>
      </c>
      <c r="I5" s="4">
        <v>68</v>
      </c>
      <c r="J5" s="7">
        <v>58</v>
      </c>
      <c r="K5" s="4">
        <v>51</v>
      </c>
      <c r="L5" s="7">
        <v>34</v>
      </c>
      <c r="O5" s="26" t="s">
        <v>22</v>
      </c>
      <c r="P5" s="26">
        <f>SUM(L13:L20)</f>
        <v>362</v>
      </c>
      <c r="Q5" s="26"/>
      <c r="R5" s="31" t="s">
        <v>22</v>
      </c>
      <c r="S5" s="31">
        <f>SUM(H13:H20)</f>
        <v>814</v>
      </c>
    </row>
    <row r="6" spans="1:19">
      <c r="A6" s="2" t="s">
        <v>23</v>
      </c>
      <c r="B6" s="21" t="s">
        <v>18</v>
      </c>
      <c r="C6" s="4">
        <v>374</v>
      </c>
      <c r="D6" s="11">
        <v>0.324</v>
      </c>
      <c r="E6" s="2" t="s">
        <v>19</v>
      </c>
      <c r="F6" s="4">
        <v>374</v>
      </c>
      <c r="G6" s="7">
        <v>142</v>
      </c>
      <c r="H6" s="7">
        <v>89</v>
      </c>
      <c r="I6" s="4">
        <v>76</v>
      </c>
      <c r="J6" s="7">
        <v>58</v>
      </c>
      <c r="K6" s="4">
        <v>46</v>
      </c>
      <c r="L6" s="7">
        <v>32</v>
      </c>
      <c r="O6" s="26"/>
      <c r="P6" s="26"/>
      <c r="Q6" s="26"/>
      <c r="R6" s="31"/>
      <c r="S6" s="31"/>
    </row>
    <row r="7" spans="1:19">
      <c r="A7" s="2" t="s">
        <v>24</v>
      </c>
      <c r="B7" s="21" t="s">
        <v>18</v>
      </c>
      <c r="C7" s="4">
        <v>420</v>
      </c>
      <c r="D7" s="11">
        <v>0.2335</v>
      </c>
      <c r="E7" s="2" t="s">
        <v>19</v>
      </c>
      <c r="F7" s="4">
        <v>419</v>
      </c>
      <c r="G7" s="7">
        <v>131</v>
      </c>
      <c r="H7" s="7">
        <v>69</v>
      </c>
      <c r="I7" s="4">
        <v>59</v>
      </c>
      <c r="J7" s="7">
        <v>44</v>
      </c>
      <c r="K7" s="4">
        <v>33</v>
      </c>
      <c r="L7" s="7">
        <v>33</v>
      </c>
      <c r="O7" s="26" t="s">
        <v>25</v>
      </c>
      <c r="P7" s="27">
        <f>P4/P2</f>
        <v>0.0966198979591837</v>
      </c>
      <c r="Q7" s="26"/>
      <c r="R7" s="31" t="s">
        <v>25</v>
      </c>
      <c r="S7" s="32">
        <f>S4/S2</f>
        <v>0.599317988064791</v>
      </c>
    </row>
    <row r="8" spans="1:19">
      <c r="A8" s="2" t="s">
        <v>26</v>
      </c>
      <c r="B8" s="21" t="s">
        <v>18</v>
      </c>
      <c r="C8" s="4">
        <v>582</v>
      </c>
      <c r="D8" s="11">
        <v>0.4386</v>
      </c>
      <c r="E8" s="2" t="s">
        <v>19</v>
      </c>
      <c r="F8" s="4">
        <v>580</v>
      </c>
      <c r="G8" s="7">
        <v>225</v>
      </c>
      <c r="H8" s="7">
        <v>116</v>
      </c>
      <c r="I8" s="4">
        <v>81</v>
      </c>
      <c r="J8" s="7">
        <v>64</v>
      </c>
      <c r="K8" s="4">
        <v>54</v>
      </c>
      <c r="L8" s="7">
        <v>60</v>
      </c>
      <c r="O8" s="26" t="s">
        <v>27</v>
      </c>
      <c r="P8" s="27">
        <f>P5/P3</f>
        <v>0.101145571388656</v>
      </c>
      <c r="Q8" s="26"/>
      <c r="R8" s="31" t="s">
        <v>27</v>
      </c>
      <c r="S8" s="32">
        <f>S5/S3</f>
        <v>0.627602158828065</v>
      </c>
    </row>
    <row r="9" spans="1:19">
      <c r="A9" s="2" t="s">
        <v>28</v>
      </c>
      <c r="B9" s="21" t="s">
        <v>18</v>
      </c>
      <c r="C9" s="4">
        <v>380</v>
      </c>
      <c r="D9" s="11">
        <v>0.4208</v>
      </c>
      <c r="E9" s="2" t="s">
        <v>19</v>
      </c>
      <c r="F9" s="4">
        <v>380</v>
      </c>
      <c r="G9" s="7">
        <v>132</v>
      </c>
      <c r="H9" s="7">
        <v>86</v>
      </c>
      <c r="I9" s="4">
        <v>60</v>
      </c>
      <c r="J9" s="7">
        <v>49</v>
      </c>
      <c r="K9" s="4">
        <v>35</v>
      </c>
      <c r="L9" s="7">
        <v>40</v>
      </c>
      <c r="O9" s="26" t="s">
        <v>29</v>
      </c>
      <c r="P9" s="27">
        <f>(P4+P5)/(P2+P3)</f>
        <v>0.0990320178704393</v>
      </c>
      <c r="Q9" s="26"/>
      <c r="R9" s="31" t="s">
        <v>29</v>
      </c>
      <c r="S9" s="32">
        <f>(S4+S5)/(S2+S3)</f>
        <v>0.61417004048583</v>
      </c>
    </row>
    <row r="10" spans="1:19">
      <c r="A10" s="2" t="s">
        <v>30</v>
      </c>
      <c r="B10" s="21" t="s">
        <v>18</v>
      </c>
      <c r="C10" s="4">
        <v>336</v>
      </c>
      <c r="D10" s="11">
        <v>0.3363</v>
      </c>
      <c r="E10" s="2" t="s">
        <v>19</v>
      </c>
      <c r="F10" s="4">
        <v>336</v>
      </c>
      <c r="G10" s="7">
        <v>140</v>
      </c>
      <c r="H10" s="7">
        <v>78</v>
      </c>
      <c r="I10" s="4">
        <v>60</v>
      </c>
      <c r="J10" s="7">
        <v>44</v>
      </c>
      <c r="K10" s="4">
        <v>39</v>
      </c>
      <c r="L10" s="7">
        <v>33</v>
      </c>
      <c r="O10" s="26" t="s">
        <v>31</v>
      </c>
      <c r="P10" s="28">
        <f>((P7-P8)-0)/SQRT(P9*(1-P9)*(1/P2+1/P3))</f>
        <v>-0.619421944175285</v>
      </c>
      <c r="Q10" s="26"/>
      <c r="R10" s="31" t="s">
        <v>31</v>
      </c>
      <c r="S10" s="33">
        <f>((S7-S8)-0)/SQRT(S9*(1-S9)*(1/S2+1/S3))</f>
        <v>-1.44202131742356</v>
      </c>
    </row>
    <row r="11" spans="1:19">
      <c r="A11" s="2" t="s">
        <v>32</v>
      </c>
      <c r="B11" s="21" t="s">
        <v>18</v>
      </c>
      <c r="C11" s="4">
        <v>385</v>
      </c>
      <c r="D11" s="11">
        <v>0.3017</v>
      </c>
      <c r="E11" s="2" t="s">
        <v>19</v>
      </c>
      <c r="F11" s="4">
        <v>385</v>
      </c>
      <c r="G11" s="7">
        <v>149</v>
      </c>
      <c r="H11" s="7">
        <v>93</v>
      </c>
      <c r="I11" s="4">
        <v>63</v>
      </c>
      <c r="J11" s="7">
        <v>51</v>
      </c>
      <c r="K11" s="4">
        <v>42</v>
      </c>
      <c r="L11" s="7">
        <v>30</v>
      </c>
      <c r="O11" s="26"/>
      <c r="P11" s="26"/>
      <c r="Q11" s="26"/>
      <c r="R11" s="31"/>
      <c r="S11" s="31"/>
    </row>
    <row r="12" s="9" customFormat="1" hidden="1" spans="1:19">
      <c r="A12" s="16"/>
      <c r="B12" s="17"/>
      <c r="C12" s="9">
        <f>SUM(F13:F20)</f>
        <v>3579</v>
      </c>
      <c r="D12" s="19">
        <f>SUM(G13:L20)</f>
        <v>4050</v>
      </c>
      <c r="E12" s="20">
        <f>D12/C12</f>
        <v>1.13160100586756</v>
      </c>
      <c r="J12" s="19"/>
      <c r="K12" s="9"/>
      <c r="L12" s="19"/>
      <c r="M12" s="9"/>
      <c r="N12" s="9"/>
      <c r="O12" s="29"/>
      <c r="P12" s="29"/>
      <c r="Q12" s="29"/>
      <c r="R12" s="29"/>
      <c r="S12" s="29"/>
    </row>
    <row r="13" spans="1:19">
      <c r="A13" s="2" t="s">
        <v>33</v>
      </c>
      <c r="B13" s="21" t="s">
        <v>34</v>
      </c>
      <c r="C13" s="4">
        <v>498</v>
      </c>
      <c r="D13" s="11">
        <v>0.3463</v>
      </c>
      <c r="E13" s="2" t="s">
        <v>19</v>
      </c>
      <c r="F13" s="4">
        <v>498</v>
      </c>
      <c r="G13" s="22">
        <v>213</v>
      </c>
      <c r="H13" s="22">
        <v>135</v>
      </c>
      <c r="I13" s="4">
        <v>105</v>
      </c>
      <c r="J13" s="22">
        <v>83</v>
      </c>
      <c r="K13" s="4">
        <v>66</v>
      </c>
      <c r="L13" s="22">
        <v>62</v>
      </c>
      <c r="O13" s="25" t="s">
        <v>35</v>
      </c>
      <c r="P13" s="26"/>
      <c r="Q13" s="26"/>
      <c r="R13" s="30" t="s">
        <v>36</v>
      </c>
      <c r="S13" s="31"/>
    </row>
    <row r="14" spans="1:19">
      <c r="A14" s="2" t="s">
        <v>37</v>
      </c>
      <c r="B14" s="21" t="s">
        <v>34</v>
      </c>
      <c r="C14" s="4">
        <v>630</v>
      </c>
      <c r="D14" s="11">
        <v>0.2045</v>
      </c>
      <c r="E14" s="2" t="s">
        <v>19</v>
      </c>
      <c r="F14" s="4">
        <v>629</v>
      </c>
      <c r="G14" s="22">
        <v>248</v>
      </c>
      <c r="H14" s="22">
        <v>159</v>
      </c>
      <c r="I14" s="4">
        <v>134</v>
      </c>
      <c r="J14" s="22">
        <v>100</v>
      </c>
      <c r="K14" s="4">
        <v>78</v>
      </c>
      <c r="L14" s="22">
        <v>75</v>
      </c>
      <c r="O14" s="26" t="s">
        <v>15</v>
      </c>
      <c r="P14" s="26">
        <f>P2</f>
        <v>3136</v>
      </c>
      <c r="Q14" s="26"/>
      <c r="R14" s="31" t="s">
        <v>15</v>
      </c>
      <c r="S14" s="31">
        <f>S2</f>
        <v>1173</v>
      </c>
    </row>
    <row r="15" spans="1:19">
      <c r="A15" s="2" t="s">
        <v>38</v>
      </c>
      <c r="B15" s="21" t="s">
        <v>34</v>
      </c>
      <c r="C15" s="4">
        <v>361</v>
      </c>
      <c r="D15" s="11">
        <v>0.175</v>
      </c>
      <c r="E15" s="2" t="s">
        <v>19</v>
      </c>
      <c r="F15" s="4">
        <v>360</v>
      </c>
      <c r="G15" s="22">
        <v>130</v>
      </c>
      <c r="H15" s="22">
        <v>93</v>
      </c>
      <c r="I15" s="4">
        <v>70</v>
      </c>
      <c r="J15" s="22">
        <v>61</v>
      </c>
      <c r="K15" s="4">
        <v>44</v>
      </c>
      <c r="L15" s="22">
        <v>38</v>
      </c>
      <c r="O15" s="26" t="s">
        <v>16</v>
      </c>
      <c r="P15" s="26">
        <f>P3</f>
        <v>3579</v>
      </c>
      <c r="Q15" s="26"/>
      <c r="R15" s="31" t="s">
        <v>16</v>
      </c>
      <c r="S15" s="31">
        <f>S3</f>
        <v>1297</v>
      </c>
    </row>
    <row r="16" spans="1:19">
      <c r="A16" s="2" t="s">
        <v>39</v>
      </c>
      <c r="B16" s="21" t="s">
        <v>34</v>
      </c>
      <c r="C16" s="4">
        <v>317</v>
      </c>
      <c r="D16" s="11">
        <v>0.2329</v>
      </c>
      <c r="E16" s="2" t="s">
        <v>19</v>
      </c>
      <c r="F16" s="4">
        <v>317</v>
      </c>
      <c r="G16" s="22">
        <v>127</v>
      </c>
      <c r="H16" s="22">
        <v>81</v>
      </c>
      <c r="I16" s="4">
        <v>62</v>
      </c>
      <c r="J16" s="22">
        <v>57</v>
      </c>
      <c r="K16" s="4">
        <v>44</v>
      </c>
      <c r="L16" s="22">
        <v>39</v>
      </c>
      <c r="O16" s="26" t="s">
        <v>20</v>
      </c>
      <c r="P16" s="26">
        <f>SUM(J2:J12)</f>
        <v>417</v>
      </c>
      <c r="Q16" s="26"/>
      <c r="R16" s="31" t="s">
        <v>20</v>
      </c>
      <c r="S16" s="31">
        <f>P4</f>
        <v>303</v>
      </c>
    </row>
    <row r="17" spans="1:19">
      <c r="A17" s="2" t="s">
        <v>40</v>
      </c>
      <c r="B17" s="21" t="s">
        <v>34</v>
      </c>
      <c r="C17" s="4">
        <v>353</v>
      </c>
      <c r="D17" s="11">
        <v>0.2354</v>
      </c>
      <c r="E17" s="2" t="s">
        <v>19</v>
      </c>
      <c r="F17" s="4">
        <v>353</v>
      </c>
      <c r="G17" s="22">
        <v>125</v>
      </c>
      <c r="H17" s="22">
        <v>81</v>
      </c>
      <c r="I17" s="4">
        <v>60</v>
      </c>
      <c r="J17" s="22">
        <v>47</v>
      </c>
      <c r="K17" s="4">
        <v>43</v>
      </c>
      <c r="L17" s="22">
        <v>28</v>
      </c>
      <c r="O17" s="26" t="s">
        <v>22</v>
      </c>
      <c r="P17" s="26">
        <f>SUM(J13:J20)</f>
        <v>526</v>
      </c>
      <c r="Q17" s="26"/>
      <c r="R17" s="31" t="s">
        <v>22</v>
      </c>
      <c r="S17" s="31">
        <f>P5</f>
        <v>362</v>
      </c>
    </row>
    <row r="18" spans="1:19">
      <c r="A18" s="2" t="s">
        <v>41</v>
      </c>
      <c r="B18" s="21" t="s">
        <v>34</v>
      </c>
      <c r="C18" s="4">
        <v>434</v>
      </c>
      <c r="D18" s="11">
        <v>0.2898</v>
      </c>
      <c r="E18" s="2" t="s">
        <v>19</v>
      </c>
      <c r="F18" s="4">
        <v>434</v>
      </c>
      <c r="G18" s="22">
        <v>160</v>
      </c>
      <c r="H18" s="22">
        <v>88</v>
      </c>
      <c r="I18" s="4">
        <v>73</v>
      </c>
      <c r="J18" s="22">
        <v>59</v>
      </c>
      <c r="K18" s="4">
        <v>51</v>
      </c>
      <c r="L18" s="22">
        <v>43</v>
      </c>
      <c r="O18" s="26" t="s">
        <v>25</v>
      </c>
      <c r="P18" s="27">
        <f>P16/P14</f>
        <v>0.13297193877551</v>
      </c>
      <c r="Q18" s="26"/>
      <c r="R18" s="31" t="s">
        <v>25</v>
      </c>
      <c r="S18" s="32">
        <f>S16/S14</f>
        <v>0.258312020460358</v>
      </c>
    </row>
    <row r="19" spans="1:19">
      <c r="A19" s="2" t="s">
        <v>42</v>
      </c>
      <c r="B19" s="21" t="s">
        <v>34</v>
      </c>
      <c r="C19" s="4">
        <v>730</v>
      </c>
      <c r="D19" s="11">
        <v>0.2279</v>
      </c>
      <c r="E19" s="2" t="s">
        <v>19</v>
      </c>
      <c r="F19" s="4">
        <v>730</v>
      </c>
      <c r="G19" s="22">
        <v>200</v>
      </c>
      <c r="H19" s="22">
        <v>120</v>
      </c>
      <c r="I19" s="4">
        <v>80</v>
      </c>
      <c r="J19" s="22">
        <v>73</v>
      </c>
      <c r="K19" s="4">
        <v>56</v>
      </c>
      <c r="L19" s="22">
        <v>49</v>
      </c>
      <c r="O19" s="26" t="s">
        <v>27</v>
      </c>
      <c r="P19" s="27">
        <f>P17/P15</f>
        <v>0.146968426934898</v>
      </c>
      <c r="Q19" s="26"/>
      <c r="R19" s="31" t="s">
        <v>27</v>
      </c>
      <c r="S19" s="32">
        <f>S17/S15</f>
        <v>0.279105628373169</v>
      </c>
    </row>
    <row r="20" spans="1:19">
      <c r="A20" s="2" t="s">
        <v>43</v>
      </c>
      <c r="B20" s="21" t="s">
        <v>34</v>
      </c>
      <c r="C20" s="4">
        <v>258</v>
      </c>
      <c r="D20" s="11">
        <v>0.4499</v>
      </c>
      <c r="E20" s="2" t="s">
        <v>19</v>
      </c>
      <c r="F20" s="4">
        <v>258</v>
      </c>
      <c r="G20" s="22">
        <v>94</v>
      </c>
      <c r="H20" s="22">
        <v>57</v>
      </c>
      <c r="I20" s="4">
        <v>50</v>
      </c>
      <c r="J20" s="22">
        <v>46</v>
      </c>
      <c r="K20" s="4">
        <v>35</v>
      </c>
      <c r="L20" s="22">
        <v>28</v>
      </c>
      <c r="O20" s="26" t="s">
        <v>29</v>
      </c>
      <c r="P20" s="27">
        <f>(P16+P17)/(P14+P15)</f>
        <v>0.140431868950112</v>
      </c>
      <c r="Q20" s="26"/>
      <c r="R20" s="31" t="s">
        <v>29</v>
      </c>
      <c r="S20" s="32">
        <f>(S16+S17)/(S14+S15)</f>
        <v>0.269230769230769</v>
      </c>
    </row>
    <row r="21" spans="1:19">
      <c r="A21" s="16"/>
      <c r="B21" s="17"/>
      <c r="C21" s="9"/>
      <c r="D21" s="18"/>
      <c r="E21" s="16"/>
      <c r="F21" s="9"/>
      <c r="G21" s="19"/>
      <c r="H21" s="19"/>
      <c r="I21" s="9"/>
      <c r="J21" s="19"/>
      <c r="K21" s="9"/>
      <c r="L21" s="19"/>
      <c r="O21" s="26" t="s">
        <v>31</v>
      </c>
      <c r="P21" s="28">
        <f>((P18-P19)-0)/SQRT(P20*(1-P20)*(1/P14+1/P15))</f>
        <v>-1.64699377689764</v>
      </c>
      <c r="Q21" s="26"/>
      <c r="R21" s="31" t="s">
        <v>31</v>
      </c>
      <c r="S21" s="33">
        <f>((S18-S19)-0)/SQRT(S20*(1-S20)*(1/S14+1/S15))</f>
        <v>-1.16345045973131</v>
      </c>
    </row>
    <row r="22" spans="1:17">
      <c r="A22" s="16"/>
      <c r="B22" s="17"/>
      <c r="C22" s="9"/>
      <c r="D22" s="18"/>
      <c r="E22" s="16"/>
      <c r="F22" s="9"/>
      <c r="G22" s="19"/>
      <c r="H22" s="19"/>
      <c r="I22" s="9"/>
      <c r="J22" s="19"/>
      <c r="K22" s="9"/>
      <c r="L22" s="19"/>
      <c r="Q22" s="26"/>
    </row>
    <row r="23" spans="1:19">
      <c r="A23" s="23"/>
      <c r="B23" s="2"/>
      <c r="C23" s="4"/>
      <c r="F23" s="23"/>
      <c r="G23" s="2"/>
      <c r="H23" s="4"/>
      <c r="I23" s="9"/>
      <c r="J23" s="19"/>
      <c r="K23" s="9"/>
      <c r="L23" s="19"/>
      <c r="O23" s="26"/>
      <c r="P23" s="26"/>
      <c r="Q23" s="26"/>
      <c r="R23" s="31"/>
      <c r="S23" s="31"/>
    </row>
    <row r="24" spans="1:19">
      <c r="A24" s="23"/>
      <c r="B24" s="2"/>
      <c r="C24" s="4"/>
      <c r="F24" s="23"/>
      <c r="G24" s="2"/>
      <c r="H24" s="4"/>
      <c r="I24" s="9"/>
      <c r="J24" s="19"/>
      <c r="K24" s="9"/>
      <c r="L24" s="19"/>
      <c r="O24" s="25" t="s">
        <v>44</v>
      </c>
      <c r="P24" s="26"/>
      <c r="Q24" s="26"/>
      <c r="R24" s="30" t="s">
        <v>45</v>
      </c>
      <c r="S24" s="31"/>
    </row>
    <row r="25" spans="1:19">
      <c r="A25" s="23"/>
      <c r="B25" s="2"/>
      <c r="F25" s="23"/>
      <c r="G25" s="2"/>
      <c r="H25" s="4"/>
      <c r="I25" s="9"/>
      <c r="J25" s="19"/>
      <c r="K25" s="9"/>
      <c r="L25" s="19"/>
      <c r="O25" s="26" t="s">
        <v>15</v>
      </c>
      <c r="P25" s="26">
        <f>P2</f>
        <v>3136</v>
      </c>
      <c r="Q25" s="26"/>
      <c r="R25" s="31" t="s">
        <v>15</v>
      </c>
      <c r="S25" s="31">
        <f>S4</f>
        <v>703</v>
      </c>
    </row>
    <row r="26" spans="1:19">
      <c r="A26" s="23"/>
      <c r="B26" s="2"/>
      <c r="F26" s="23"/>
      <c r="G26" s="2"/>
      <c r="H26" s="4"/>
      <c r="I26" s="9"/>
      <c r="J26" s="19"/>
      <c r="K26" s="9"/>
      <c r="L26" s="19"/>
      <c r="O26" s="26" t="s">
        <v>16</v>
      </c>
      <c r="P26" s="26">
        <f>P3</f>
        <v>3579</v>
      </c>
      <c r="Q26" s="26"/>
      <c r="R26" s="31" t="s">
        <v>16</v>
      </c>
      <c r="S26" s="31">
        <f>S5</f>
        <v>814</v>
      </c>
    </row>
    <row r="27" spans="1:19">
      <c r="A27" s="23"/>
      <c r="B27" s="2"/>
      <c r="F27" s="23"/>
      <c r="G27" s="2"/>
      <c r="H27" s="4"/>
      <c r="I27" s="9"/>
      <c r="J27" s="19"/>
      <c r="K27" s="9"/>
      <c r="L27" s="19"/>
      <c r="O27" s="26" t="s">
        <v>20</v>
      </c>
      <c r="P27" s="26">
        <f>SUM(H2:H12)</f>
        <v>703</v>
      </c>
      <c r="Q27" s="26"/>
      <c r="R27" s="31" t="s">
        <v>20</v>
      </c>
      <c r="S27" s="31">
        <f>S16</f>
        <v>303</v>
      </c>
    </row>
    <row r="28" spans="1:19">
      <c r="A28" s="23"/>
      <c r="B28" s="2"/>
      <c r="F28" s="23"/>
      <c r="G28" s="2"/>
      <c r="H28" s="4"/>
      <c r="I28" s="9"/>
      <c r="J28" s="9"/>
      <c r="K28" s="9"/>
      <c r="L28" s="9"/>
      <c r="O28" s="26" t="s">
        <v>22</v>
      </c>
      <c r="P28" s="26">
        <f>SUM(H13:H20)</f>
        <v>814</v>
      </c>
      <c r="Q28" s="26"/>
      <c r="R28" s="31" t="s">
        <v>22</v>
      </c>
      <c r="S28" s="31">
        <f>S17</f>
        <v>362</v>
      </c>
    </row>
    <row r="29" spans="1:19">
      <c r="A29" s="23"/>
      <c r="B29" s="2"/>
      <c r="F29" s="23"/>
      <c r="G29" s="2"/>
      <c r="H29" s="4"/>
      <c r="I29" s="9"/>
      <c r="J29" s="9"/>
      <c r="K29" s="9"/>
      <c r="L29" s="9"/>
      <c r="O29" s="26" t="s">
        <v>25</v>
      </c>
      <c r="P29" s="27">
        <f>P27/P25</f>
        <v>0.224170918367347</v>
      </c>
      <c r="Q29" s="26"/>
      <c r="R29" s="31" t="s">
        <v>25</v>
      </c>
      <c r="S29" s="32">
        <f>S27/S25</f>
        <v>0.431009957325747</v>
      </c>
    </row>
    <row r="30" spans="1:19">
      <c r="A30" s="23"/>
      <c r="B30" s="2"/>
      <c r="F30" s="23"/>
      <c r="G30" s="2"/>
      <c r="H30" s="4"/>
      <c r="I30" s="9"/>
      <c r="J30" s="9"/>
      <c r="K30" s="9"/>
      <c r="L30" s="9"/>
      <c r="O30" s="26" t="s">
        <v>27</v>
      </c>
      <c r="P30" s="27">
        <f>P28/P26</f>
        <v>0.227437831796591</v>
      </c>
      <c r="Q30" s="26"/>
      <c r="R30" s="31" t="s">
        <v>27</v>
      </c>
      <c r="S30" s="32">
        <f>S28/S26</f>
        <v>0.444717444717445</v>
      </c>
    </row>
    <row r="31" spans="1:19">
      <c r="A31" s="23"/>
      <c r="B31" s="2"/>
      <c r="F31" s="23"/>
      <c r="G31" s="2"/>
      <c r="H31" s="4"/>
      <c r="I31" s="9"/>
      <c r="J31" s="9"/>
      <c r="K31" s="9"/>
      <c r="L31" s="9"/>
      <c r="O31" s="26" t="s">
        <v>29</v>
      </c>
      <c r="P31" s="27">
        <f>(P27+P28)/(P25+P26)</f>
        <v>0.225912137006701</v>
      </c>
      <c r="Q31" s="26"/>
      <c r="R31" s="31" t="s">
        <v>29</v>
      </c>
      <c r="S31" s="32">
        <f>(S27+S28)/(S25+S26)</f>
        <v>0.438365194462755</v>
      </c>
    </row>
    <row r="32" spans="1:19">
      <c r="A32" s="23"/>
      <c r="B32" s="2"/>
      <c r="F32" s="23"/>
      <c r="G32" s="2"/>
      <c r="H32" s="4"/>
      <c r="I32" s="9"/>
      <c r="J32" s="9"/>
      <c r="K32" s="9"/>
      <c r="L32" s="9"/>
      <c r="O32" s="26" t="s">
        <v>31</v>
      </c>
      <c r="P32" s="28">
        <f>((P29-P30)-0)/SQRT(P31*(1-P31)*(1/P25+1/P26))</f>
        <v>-0.31938799118851</v>
      </c>
      <c r="Q32" s="26"/>
      <c r="R32" s="31" t="s">
        <v>31</v>
      </c>
      <c r="S32" s="33">
        <f>((S29-S30)-0)/SQRT(S31*(1-S31)*(1/S25+1/S26))</f>
        <v>-0.536549618486428</v>
      </c>
    </row>
    <row r="33" spans="1:17">
      <c r="A33" s="23"/>
      <c r="B33" s="2"/>
      <c r="C33" s="4"/>
      <c r="F33" s="23"/>
      <c r="G33" s="2"/>
      <c r="H33" s="4"/>
      <c r="I33" s="9"/>
      <c r="J33" s="9"/>
      <c r="K33" s="9"/>
      <c r="L33" s="9"/>
      <c r="Q33" s="26"/>
    </row>
    <row r="34" spans="1:17">
      <c r="A34" s="23"/>
      <c r="B34" s="2"/>
      <c r="C34" s="4"/>
      <c r="F34" s="23"/>
      <c r="G34" s="2"/>
      <c r="H34" s="4"/>
      <c r="I34" s="9"/>
      <c r="J34" s="9"/>
      <c r="K34" s="9"/>
      <c r="L34" s="9"/>
      <c r="Q34" s="26"/>
    </row>
    <row r="35" spans="1:17">
      <c r="A35" s="23"/>
      <c r="B35" s="2"/>
      <c r="C35" s="4"/>
      <c r="F35" s="23"/>
      <c r="G35" s="2"/>
      <c r="H35" s="4"/>
      <c r="I35" s="9"/>
      <c r="J35" s="9"/>
      <c r="K35" s="9"/>
      <c r="L35" s="9"/>
      <c r="O35" s="25" t="s">
        <v>46</v>
      </c>
      <c r="P35" s="26"/>
      <c r="Q35" s="26"/>
    </row>
    <row r="36" spans="1:17">
      <c r="A36" s="23"/>
      <c r="B36" s="2"/>
      <c r="C36" s="4"/>
      <c r="F36" s="23"/>
      <c r="G36" s="2"/>
      <c r="H36" s="4"/>
      <c r="I36" s="9"/>
      <c r="J36" s="9"/>
      <c r="K36" s="9"/>
      <c r="L36" s="9"/>
      <c r="O36" s="26" t="s">
        <v>15</v>
      </c>
      <c r="P36" s="26">
        <f>P25</f>
        <v>3136</v>
      </c>
      <c r="Q36" s="26"/>
    </row>
    <row r="37" spans="1:17">
      <c r="A37" s="23"/>
      <c r="B37" s="2"/>
      <c r="C37" s="4"/>
      <c r="F37" s="23"/>
      <c r="G37" s="2"/>
      <c r="H37" s="4"/>
      <c r="I37" s="9"/>
      <c r="J37" s="9"/>
      <c r="K37" s="9"/>
      <c r="L37" s="9"/>
      <c r="O37" s="26" t="s">
        <v>16</v>
      </c>
      <c r="P37" s="26">
        <f>P26</f>
        <v>3579</v>
      </c>
      <c r="Q37" s="26"/>
    </row>
    <row r="38" spans="1:17">
      <c r="A38" s="23"/>
      <c r="B38" s="2"/>
      <c r="C38" s="4"/>
      <c r="F38" s="23"/>
      <c r="G38" s="2"/>
      <c r="H38" s="4"/>
      <c r="I38" s="9"/>
      <c r="J38" s="9"/>
      <c r="K38" s="9"/>
      <c r="L38" s="9"/>
      <c r="O38" s="26" t="s">
        <v>20</v>
      </c>
      <c r="P38" s="26">
        <f>SUM(G2:G12)</f>
        <v>1173</v>
      </c>
      <c r="Q38" s="26"/>
    </row>
    <row r="39" spans="1:17">
      <c r="A39" s="23"/>
      <c r="B39" s="2"/>
      <c r="C39" s="4"/>
      <c r="F39" s="23"/>
      <c r="G39" s="2"/>
      <c r="H39" s="4"/>
      <c r="I39" s="9"/>
      <c r="J39" s="9"/>
      <c r="K39" s="9"/>
      <c r="L39" s="9"/>
      <c r="O39" s="26" t="s">
        <v>22</v>
      </c>
      <c r="P39" s="26">
        <f>SUM(G13:G20)</f>
        <v>1297</v>
      </c>
      <c r="Q39" s="26"/>
    </row>
    <row r="40" spans="1:17">
      <c r="A40" s="23"/>
      <c r="B40" s="2"/>
      <c r="C40" s="4"/>
      <c r="F40" s="9"/>
      <c r="G40" s="9"/>
      <c r="H40" s="9"/>
      <c r="I40" s="9"/>
      <c r="J40" s="9"/>
      <c r="K40" s="9"/>
      <c r="L40" s="9"/>
      <c r="O40" s="26" t="s">
        <v>25</v>
      </c>
      <c r="P40" s="27">
        <f>P38/P36</f>
        <v>0.374043367346939</v>
      </c>
      <c r="Q40" s="26"/>
    </row>
    <row r="41" spans="1:17">
      <c r="A41" s="23"/>
      <c r="B41" s="2"/>
      <c r="C41" s="4"/>
      <c r="F41" s="9"/>
      <c r="G41" s="9"/>
      <c r="H41" s="9"/>
      <c r="I41" s="9"/>
      <c r="J41" s="9"/>
      <c r="K41" s="9"/>
      <c r="L41" s="9"/>
      <c r="O41" s="26" t="s">
        <v>27</v>
      </c>
      <c r="P41" s="27">
        <f>P39/P37</f>
        <v>0.362391729533389</v>
      </c>
      <c r="Q41" s="26"/>
    </row>
    <row r="42" spans="1:17">
      <c r="A42" s="23"/>
      <c r="B42" s="2"/>
      <c r="C42" s="4"/>
      <c r="F42" s="9"/>
      <c r="G42" s="9"/>
      <c r="H42" s="9"/>
      <c r="I42" s="9"/>
      <c r="J42" s="9"/>
      <c r="K42" s="9"/>
      <c r="L42" s="9"/>
      <c r="O42" s="26" t="s">
        <v>29</v>
      </c>
      <c r="P42" s="27">
        <f>(P38+P39)/(P36+P37)</f>
        <v>0.36783320923306</v>
      </c>
      <c r="Q42" s="26"/>
    </row>
    <row r="43" spans="1:17">
      <c r="A43" s="9"/>
      <c r="B43" s="19"/>
      <c r="C43" s="9"/>
      <c r="D43" s="24"/>
      <c r="E43" s="9"/>
      <c r="F43" s="9"/>
      <c r="G43" s="9"/>
      <c r="H43" s="9"/>
      <c r="I43" s="9"/>
      <c r="J43" s="9"/>
      <c r="K43" s="9"/>
      <c r="L43" s="9"/>
      <c r="O43" s="26" t="s">
        <v>31</v>
      </c>
      <c r="P43" s="28">
        <f>((P40-P41)-0)/SQRT(P42*(1-P42)*(1/P36+1/P37))</f>
        <v>0.987851212130534</v>
      </c>
      <c r="Q43" s="26"/>
    </row>
    <row r="44" spans="1:17">
      <c r="A44" s="9"/>
      <c r="B44" s="19"/>
      <c r="C44" s="9"/>
      <c r="D44" s="24"/>
      <c r="E44" s="9"/>
      <c r="F44" s="9"/>
      <c r="G44" s="9"/>
      <c r="H44" s="9"/>
      <c r="I44" s="9"/>
      <c r="J44" s="9"/>
      <c r="K44" s="9"/>
      <c r="L44" s="9"/>
      <c r="Q44" s="26"/>
    </row>
    <row r="45" spans="1:17">
      <c r="A45" s="9"/>
      <c r="B45" s="19"/>
      <c r="C45" s="9"/>
      <c r="D45" s="24"/>
      <c r="E45" s="9"/>
      <c r="F45" s="9"/>
      <c r="G45" s="9"/>
      <c r="H45" s="9"/>
      <c r="I45" s="9"/>
      <c r="J45" s="9"/>
      <c r="K45" s="9"/>
      <c r="L45" s="9"/>
      <c r="Q45" s="26"/>
    </row>
    <row r="46" spans="1:17">
      <c r="A46" s="9"/>
      <c r="B46" s="19"/>
      <c r="C46" s="9"/>
      <c r="D46" s="24"/>
      <c r="E46" s="9"/>
      <c r="F46" s="9"/>
      <c r="G46" s="9"/>
      <c r="H46" s="9"/>
      <c r="I46" s="9"/>
      <c r="J46" s="9"/>
      <c r="K46" s="9"/>
      <c r="L46" s="9"/>
      <c r="Q46" s="26"/>
    </row>
    <row r="47" spans="1:12">
      <c r="A47" s="9"/>
      <c r="B47" s="19"/>
      <c r="C47" s="9"/>
      <c r="D47" s="24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9"/>
      <c r="C48" s="9"/>
      <c r="D48" s="24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9"/>
      <c r="C49" s="9"/>
      <c r="D49" s="24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9"/>
      <c r="C50" s="9"/>
      <c r="D50" s="24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9"/>
      <c r="C51" s="9"/>
      <c r="D51" s="24"/>
      <c r="E51" s="9"/>
      <c r="F51" s="9"/>
      <c r="G51" s="9"/>
      <c r="H51" s="9"/>
      <c r="I51" s="9"/>
      <c r="J51" s="9"/>
      <c r="K51" s="9"/>
      <c r="L51" s="9"/>
    </row>
    <row r="52" spans="1:12">
      <c r="A52" s="9"/>
      <c r="B52" s="19"/>
      <c r="C52" s="9"/>
      <c r="D52" s="24"/>
      <c r="E52" s="9"/>
      <c r="F52" s="9"/>
      <c r="G52" s="9"/>
      <c r="H52" s="9"/>
      <c r="I52" s="9"/>
      <c r="J52" s="9"/>
      <c r="K52" s="9"/>
      <c r="L52" s="9"/>
    </row>
    <row r="53" spans="1:12">
      <c r="A53" s="9"/>
      <c r="B53" s="19"/>
      <c r="C53" s="9"/>
      <c r="D53" s="24"/>
      <c r="E53" s="9"/>
      <c r="F53" s="9"/>
      <c r="G53" s="9"/>
      <c r="H53" s="9"/>
      <c r="I53" s="9"/>
      <c r="J53" s="9"/>
      <c r="K53" s="9"/>
      <c r="L53" s="9"/>
    </row>
    <row r="54" spans="1:12">
      <c r="A54" s="9"/>
      <c r="B54" s="19"/>
      <c r="C54" s="9"/>
      <c r="D54" s="24"/>
      <c r="E54" s="9"/>
      <c r="F54" s="9"/>
      <c r="G54" s="9"/>
      <c r="H54" s="9"/>
      <c r="I54" s="9"/>
      <c r="J54" s="9"/>
      <c r="K54" s="9"/>
      <c r="L54" s="9"/>
    </row>
    <row r="55" spans="1:12">
      <c r="A55" s="9"/>
      <c r="B55" s="19"/>
      <c r="C55" s="9"/>
      <c r="D55" s="24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9"/>
      <c r="C56" s="9"/>
      <c r="D56" s="24"/>
      <c r="E56" s="9"/>
      <c r="F56" s="9"/>
      <c r="G56" s="9"/>
      <c r="H56" s="9"/>
      <c r="I56" s="9"/>
      <c r="J56" s="9"/>
      <c r="K56" s="9"/>
      <c r="L56" s="9"/>
    </row>
    <row r="57" spans="1:12">
      <c r="A57" s="9"/>
      <c r="B57" s="19"/>
      <c r="C57" s="9"/>
      <c r="D57" s="24"/>
      <c r="E57" s="9"/>
      <c r="F57" s="9"/>
      <c r="G57" s="9"/>
      <c r="H57" s="9"/>
      <c r="I57" s="9"/>
      <c r="J57" s="9"/>
      <c r="K57" s="9"/>
      <c r="L57" s="9"/>
    </row>
    <row r="58" spans="1:12">
      <c r="A58" s="9"/>
      <c r="B58" s="19"/>
      <c r="C58" s="9"/>
      <c r="D58" s="24"/>
      <c r="E58" s="9"/>
      <c r="F58" s="9"/>
      <c r="G58" s="9"/>
      <c r="H58" s="9"/>
      <c r="I58" s="9"/>
      <c r="J58" s="9"/>
      <c r="K58" s="9"/>
      <c r="L58" s="9"/>
    </row>
    <row r="59" spans="1:12">
      <c r="A59" s="9"/>
      <c r="B59" s="19"/>
      <c r="C59" s="9"/>
      <c r="D59" s="24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9"/>
      <c r="C60" s="9"/>
      <c r="D60" s="24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9"/>
      <c r="C61" s="9"/>
      <c r="D61" s="24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9"/>
      <c r="C62" s="9"/>
      <c r="D62" s="24"/>
      <c r="E62" s="9"/>
      <c r="F62" s="9"/>
      <c r="G62" s="9"/>
      <c r="H62" s="9"/>
      <c r="I62" s="9"/>
      <c r="J62" s="9"/>
      <c r="K62" s="9"/>
      <c r="L62" s="9"/>
    </row>
    <row r="63" spans="1:12">
      <c r="A63" s="9"/>
      <c r="B63" s="19"/>
      <c r="C63" s="9"/>
      <c r="D63" s="24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9"/>
      <c r="C64" s="9"/>
      <c r="D64" s="24"/>
      <c r="E64" s="9"/>
      <c r="F64" s="9"/>
      <c r="G64" s="9"/>
      <c r="H64" s="9"/>
      <c r="I64" s="9"/>
      <c r="J64" s="9"/>
      <c r="K64" s="9"/>
      <c r="L64" s="9"/>
    </row>
    <row r="65" spans="1:12">
      <c r="A65" s="9"/>
      <c r="B65" s="19"/>
      <c r="C65" s="9"/>
      <c r="D65" s="24"/>
      <c r="E65" s="9"/>
      <c r="F65" s="9"/>
      <c r="G65" s="9"/>
      <c r="H65" s="9"/>
      <c r="I65" s="9"/>
      <c r="J65" s="9"/>
      <c r="K65" s="9"/>
      <c r="L65" s="9"/>
    </row>
    <row r="66" spans="1:12">
      <c r="A66" s="9"/>
      <c r="B66" s="19"/>
      <c r="C66" s="9"/>
      <c r="D66" s="24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9"/>
      <c r="C67" s="9"/>
      <c r="D67" s="24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9"/>
      <c r="C68" s="9"/>
      <c r="D68" s="24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9"/>
      <c r="C69" s="9"/>
      <c r="D69" s="24"/>
      <c r="E69" s="9"/>
      <c r="F69" s="9"/>
      <c r="G69" s="9"/>
      <c r="H69" s="9"/>
      <c r="I69" s="9"/>
      <c r="J69" s="9"/>
      <c r="K69" s="9"/>
      <c r="L69" s="9"/>
    </row>
    <row r="70" spans="1:12">
      <c r="A70" s="9"/>
      <c r="B70" s="19"/>
      <c r="C70" s="9"/>
      <c r="D70" s="24"/>
      <c r="E70" s="9"/>
      <c r="F70" s="9"/>
      <c r="G70" s="9"/>
      <c r="H70" s="9"/>
      <c r="I70" s="9"/>
      <c r="J70" s="9"/>
      <c r="K70" s="9"/>
      <c r="L70" s="9"/>
    </row>
    <row r="71" spans="1:12">
      <c r="A71" s="9"/>
      <c r="B71" s="19"/>
      <c r="C71" s="9"/>
      <c r="D71" s="24"/>
      <c r="E71" s="9"/>
      <c r="F71" s="9"/>
      <c r="G71" s="9"/>
      <c r="H71" s="9"/>
      <c r="I71" s="9"/>
      <c r="J71" s="9"/>
      <c r="K71" s="9"/>
      <c r="L71" s="9"/>
    </row>
    <row r="72" spans="1:12">
      <c r="A72" s="9"/>
      <c r="B72" s="19"/>
      <c r="C72" s="9"/>
      <c r="D72" s="24"/>
      <c r="E72" s="9"/>
      <c r="F72" s="9"/>
      <c r="G72" s="9"/>
      <c r="H72" s="9"/>
      <c r="I72" s="9"/>
      <c r="J72" s="9"/>
      <c r="K72" s="9"/>
      <c r="L72" s="9"/>
    </row>
    <row r="73" spans="1:12">
      <c r="A73" s="9"/>
      <c r="B73" s="19"/>
      <c r="C73" s="9"/>
      <c r="D73" s="24"/>
      <c r="E73" s="9"/>
      <c r="F73" s="9"/>
      <c r="G73" s="9"/>
      <c r="H73" s="9"/>
      <c r="I73" s="9"/>
      <c r="J73" s="9"/>
      <c r="K73" s="9"/>
      <c r="L73" s="9"/>
    </row>
    <row r="74" spans="1:12">
      <c r="A74" s="9"/>
      <c r="B74" s="19"/>
      <c r="C74" s="9"/>
      <c r="D74" s="24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9"/>
      <c r="C75" s="9"/>
      <c r="D75" s="24"/>
      <c r="E75" s="9"/>
      <c r="F75" s="9"/>
      <c r="G75" s="9"/>
      <c r="H75" s="9"/>
      <c r="I75" s="9"/>
      <c r="J75" s="9"/>
      <c r="K75" s="9"/>
      <c r="L75" s="9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I349"/>
  <sheetViews>
    <sheetView zoomScaleSheetLayoutView="60" workbookViewId="0">
      <selection activeCell="F367" sqref="F367"/>
    </sheetView>
  </sheetViews>
  <sheetFormatPr defaultColWidth="9" defaultRowHeight="13.5"/>
  <cols>
    <col min="1" max="1" width="17.125" customWidth="1"/>
    <col min="6" max="7" width="9" style="1"/>
    <col min="9" max="9" width="9" style="1"/>
    <col min="11" max="11" width="9" style="1"/>
  </cols>
  <sheetData>
    <row r="1" ht="16.5" spans="1:35">
      <c r="A1" s="2" t="s">
        <v>0</v>
      </c>
      <c r="B1" s="2" t="s">
        <v>1</v>
      </c>
      <c r="C1" s="2" t="s">
        <v>47</v>
      </c>
      <c r="D1" s="2" t="s">
        <v>4</v>
      </c>
      <c r="E1" s="2" t="s">
        <v>5</v>
      </c>
      <c r="F1" s="3" t="s">
        <v>6</v>
      </c>
      <c r="G1" s="3" t="s">
        <v>7</v>
      </c>
      <c r="H1" s="2" t="s">
        <v>8</v>
      </c>
      <c r="I1" s="3" t="s">
        <v>9</v>
      </c>
      <c r="J1" s="2" t="s">
        <v>10</v>
      </c>
      <c r="K1" s="3" t="s">
        <v>11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63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  <c r="AG1" s="2" t="s">
        <v>69</v>
      </c>
      <c r="AH1" s="2" t="s">
        <v>70</v>
      </c>
      <c r="AI1" s="2" t="s">
        <v>71</v>
      </c>
    </row>
    <row r="2" ht="16.5" hidden="1" spans="1:35">
      <c r="A2" s="2" t="s">
        <v>72</v>
      </c>
      <c r="B2" s="2" t="s">
        <v>73</v>
      </c>
      <c r="C2" s="4">
        <v>19103</v>
      </c>
      <c r="D2" s="2" t="s">
        <v>19</v>
      </c>
      <c r="E2" s="4">
        <v>19096</v>
      </c>
      <c r="F2" s="4">
        <v>7228</v>
      </c>
      <c r="G2" s="4">
        <v>4581</v>
      </c>
      <c r="H2" s="4">
        <v>3472</v>
      </c>
      <c r="I2" s="4">
        <v>2715</v>
      </c>
      <c r="J2" s="4">
        <v>2195</v>
      </c>
      <c r="K2" s="4">
        <v>1881</v>
      </c>
      <c r="L2" s="4">
        <v>1637</v>
      </c>
      <c r="M2" s="4">
        <v>1392</v>
      </c>
      <c r="N2" s="4">
        <v>1132</v>
      </c>
      <c r="O2" s="4">
        <v>956</v>
      </c>
      <c r="P2" s="4">
        <v>839</v>
      </c>
      <c r="Q2" s="4">
        <v>792</v>
      </c>
      <c r="R2" s="4">
        <v>715</v>
      </c>
      <c r="S2" s="4">
        <v>620</v>
      </c>
      <c r="T2" s="4">
        <v>567</v>
      </c>
      <c r="U2" s="4">
        <v>503</v>
      </c>
      <c r="V2" s="4">
        <v>441</v>
      </c>
      <c r="W2" s="4">
        <v>403</v>
      </c>
      <c r="X2" s="4">
        <v>328</v>
      </c>
      <c r="Y2" s="4">
        <v>345</v>
      </c>
      <c r="Z2" s="4">
        <v>302</v>
      </c>
      <c r="AA2" s="4">
        <v>273</v>
      </c>
      <c r="AB2" s="4">
        <v>233</v>
      </c>
      <c r="AC2" s="4">
        <v>212</v>
      </c>
      <c r="AD2" s="4">
        <v>200</v>
      </c>
      <c r="AE2" s="4">
        <v>157</v>
      </c>
      <c r="AF2" s="4">
        <v>159</v>
      </c>
      <c r="AG2" s="4">
        <v>142</v>
      </c>
      <c r="AH2" s="4">
        <v>147</v>
      </c>
      <c r="AI2" s="4">
        <v>120</v>
      </c>
    </row>
    <row r="3" ht="16.5" hidden="1" spans="1:35">
      <c r="A3" s="2" t="s">
        <v>72</v>
      </c>
      <c r="B3" s="2" t="s">
        <v>73</v>
      </c>
      <c r="C3" s="4">
        <v>19103</v>
      </c>
      <c r="D3" s="2" t="s">
        <v>74</v>
      </c>
      <c r="E3" s="5">
        <v>0.9996</v>
      </c>
      <c r="F3" s="5">
        <v>0.393</v>
      </c>
      <c r="G3" s="5">
        <v>0.2564</v>
      </c>
      <c r="H3" s="5">
        <v>0.1989</v>
      </c>
      <c r="I3" s="5">
        <v>0.1584</v>
      </c>
      <c r="J3" s="5">
        <v>0.1302</v>
      </c>
      <c r="K3" s="5">
        <v>0.1135</v>
      </c>
      <c r="L3" s="5">
        <v>0.1011</v>
      </c>
      <c r="M3" s="5">
        <v>0.0879</v>
      </c>
      <c r="N3" s="5">
        <v>0.0732</v>
      </c>
      <c r="O3" s="5">
        <v>0.0643</v>
      </c>
      <c r="P3" s="5">
        <v>0.0581</v>
      </c>
      <c r="Q3" s="5">
        <v>0.0563</v>
      </c>
      <c r="R3" s="5">
        <v>0.0522</v>
      </c>
      <c r="S3" s="5">
        <v>0.0463</v>
      </c>
      <c r="T3" s="5">
        <v>0.0432</v>
      </c>
      <c r="U3" s="5">
        <v>0.0396</v>
      </c>
      <c r="V3" s="5">
        <v>0.0368</v>
      </c>
      <c r="W3" s="5">
        <v>0.0349</v>
      </c>
      <c r="X3" s="5">
        <v>0.0293</v>
      </c>
      <c r="Y3" s="5">
        <v>0.0318</v>
      </c>
      <c r="Z3" s="5">
        <v>0.0288</v>
      </c>
      <c r="AA3" s="5">
        <v>0.0277</v>
      </c>
      <c r="AB3" s="5">
        <v>0.0249</v>
      </c>
      <c r="AC3" s="5">
        <v>0.0238</v>
      </c>
      <c r="AD3" s="5">
        <v>0.0233</v>
      </c>
      <c r="AE3" s="5">
        <v>0.0188</v>
      </c>
      <c r="AF3" s="5">
        <v>0.0198</v>
      </c>
      <c r="AG3" s="5">
        <v>0.0185</v>
      </c>
      <c r="AH3" s="5">
        <v>0.0203</v>
      </c>
      <c r="AI3" s="5">
        <v>0.0179</v>
      </c>
    </row>
    <row r="4" ht="16.5" hidden="1" spans="1:35">
      <c r="A4" s="2" t="s">
        <v>75</v>
      </c>
      <c r="B4" s="2" t="s">
        <v>73</v>
      </c>
      <c r="C4" s="4">
        <v>203</v>
      </c>
      <c r="D4" s="2" t="s">
        <v>19</v>
      </c>
      <c r="E4" s="4">
        <v>203</v>
      </c>
      <c r="F4" s="4">
        <v>68</v>
      </c>
      <c r="G4" s="4">
        <v>49</v>
      </c>
      <c r="H4" s="4">
        <v>42</v>
      </c>
      <c r="I4" s="4">
        <v>37</v>
      </c>
      <c r="J4" s="4">
        <v>28</v>
      </c>
      <c r="K4" s="4">
        <v>26</v>
      </c>
      <c r="L4" s="4">
        <v>28</v>
      </c>
      <c r="M4" s="4">
        <v>18</v>
      </c>
      <c r="N4" s="4">
        <v>16</v>
      </c>
      <c r="O4" s="4">
        <v>17</v>
      </c>
      <c r="P4" s="4">
        <v>10</v>
      </c>
      <c r="Q4" s="4">
        <v>17</v>
      </c>
      <c r="R4" s="4">
        <v>13</v>
      </c>
      <c r="S4" s="4">
        <v>9</v>
      </c>
      <c r="T4" s="4">
        <v>6</v>
      </c>
      <c r="U4" s="4">
        <v>9</v>
      </c>
      <c r="V4" s="4">
        <v>9</v>
      </c>
      <c r="W4" s="4">
        <v>11</v>
      </c>
      <c r="X4" s="4">
        <v>7</v>
      </c>
      <c r="Y4" s="4">
        <v>8</v>
      </c>
      <c r="Z4" s="4">
        <v>7</v>
      </c>
      <c r="AA4" s="4">
        <v>4</v>
      </c>
      <c r="AB4" s="4">
        <v>4</v>
      </c>
      <c r="AC4" s="4">
        <v>10</v>
      </c>
      <c r="AD4" s="4">
        <v>6</v>
      </c>
      <c r="AE4" s="4">
        <v>2</v>
      </c>
      <c r="AF4" s="4">
        <v>5</v>
      </c>
      <c r="AG4" s="4">
        <v>5</v>
      </c>
      <c r="AH4" s="4">
        <v>6</v>
      </c>
      <c r="AI4" s="4">
        <v>5</v>
      </c>
    </row>
    <row r="5" ht="16.5" hidden="1" spans="1:35">
      <c r="A5" s="2" t="s">
        <v>75</v>
      </c>
      <c r="B5" s="2" t="s">
        <v>73</v>
      </c>
      <c r="C5" s="4">
        <v>203</v>
      </c>
      <c r="D5" s="2" t="s">
        <v>74</v>
      </c>
      <c r="E5" s="6">
        <v>1</v>
      </c>
      <c r="F5" s="5">
        <v>0.335</v>
      </c>
      <c r="G5" s="5">
        <v>0.2414</v>
      </c>
      <c r="H5" s="5">
        <v>0.2069</v>
      </c>
      <c r="I5" s="5">
        <v>0.1823</v>
      </c>
      <c r="J5" s="5">
        <v>0.1379</v>
      </c>
      <c r="K5" s="5">
        <v>0.1281</v>
      </c>
      <c r="L5" s="5">
        <v>0.1379</v>
      </c>
      <c r="M5" s="5">
        <v>0.0887</v>
      </c>
      <c r="N5" s="5">
        <v>0.0788</v>
      </c>
      <c r="O5" s="5">
        <v>0.0837</v>
      </c>
      <c r="P5" s="5">
        <v>0.0493</v>
      </c>
      <c r="Q5" s="5">
        <v>0.0837</v>
      </c>
      <c r="R5" s="5">
        <v>0.064</v>
      </c>
      <c r="S5" s="5">
        <v>0.0443</v>
      </c>
      <c r="T5" s="5">
        <v>0.0296</v>
      </c>
      <c r="U5" s="5">
        <v>0.0443</v>
      </c>
      <c r="V5" s="5">
        <v>0.0443</v>
      </c>
      <c r="W5" s="5">
        <v>0.0542</v>
      </c>
      <c r="X5" s="5">
        <v>0.0345</v>
      </c>
      <c r="Y5" s="5">
        <v>0.0394</v>
      </c>
      <c r="Z5" s="5">
        <v>0.0345</v>
      </c>
      <c r="AA5" s="5">
        <v>0.0197</v>
      </c>
      <c r="AB5" s="5">
        <v>0.0197</v>
      </c>
      <c r="AC5" s="5">
        <v>0.0493</v>
      </c>
      <c r="AD5" s="5">
        <v>0.0296</v>
      </c>
      <c r="AE5" s="5">
        <v>0.0099</v>
      </c>
      <c r="AF5" s="5">
        <v>0.0246</v>
      </c>
      <c r="AG5" s="5">
        <v>0.0246</v>
      </c>
      <c r="AH5" s="5">
        <v>0.0296</v>
      </c>
      <c r="AI5" s="5">
        <v>0.0246</v>
      </c>
    </row>
    <row r="6" ht="16.5" hidden="1" spans="1:35">
      <c r="A6" s="2" t="s">
        <v>76</v>
      </c>
      <c r="B6" s="2" t="s">
        <v>73</v>
      </c>
      <c r="C6" s="4">
        <v>240</v>
      </c>
      <c r="D6" s="2" t="s">
        <v>19</v>
      </c>
      <c r="E6" s="4">
        <v>240</v>
      </c>
      <c r="F6" s="4">
        <v>114</v>
      </c>
      <c r="G6" s="4">
        <v>87</v>
      </c>
      <c r="H6" s="4">
        <v>53</v>
      </c>
      <c r="I6" s="4">
        <v>43</v>
      </c>
      <c r="J6" s="4">
        <v>36</v>
      </c>
      <c r="K6" s="4">
        <v>34</v>
      </c>
      <c r="L6" s="4">
        <v>24</v>
      </c>
      <c r="M6" s="4">
        <v>25</v>
      </c>
      <c r="N6" s="4">
        <v>17</v>
      </c>
      <c r="O6" s="4">
        <v>19</v>
      </c>
      <c r="P6" s="4">
        <v>17</v>
      </c>
      <c r="Q6" s="4">
        <v>15</v>
      </c>
      <c r="R6" s="4">
        <v>16</v>
      </c>
      <c r="S6" s="4">
        <v>9</v>
      </c>
      <c r="T6" s="4">
        <v>10</v>
      </c>
      <c r="U6" s="4">
        <v>9</v>
      </c>
      <c r="V6" s="4">
        <v>8</v>
      </c>
      <c r="W6" s="4">
        <v>7</v>
      </c>
      <c r="X6" s="4">
        <v>9</v>
      </c>
      <c r="Y6" s="4">
        <v>9</v>
      </c>
      <c r="Z6" s="4">
        <v>5</v>
      </c>
      <c r="AA6" s="4">
        <v>8</v>
      </c>
      <c r="AB6" s="4">
        <v>7</v>
      </c>
      <c r="AC6" s="4">
        <v>5</v>
      </c>
      <c r="AD6" s="4">
        <v>4</v>
      </c>
      <c r="AE6" s="4">
        <v>2</v>
      </c>
      <c r="AF6" s="4">
        <v>7</v>
      </c>
      <c r="AG6" s="4">
        <v>1</v>
      </c>
      <c r="AH6" s="4">
        <v>5</v>
      </c>
      <c r="AI6" s="4">
        <v>3</v>
      </c>
    </row>
    <row r="7" ht="16.5" hidden="1" spans="1:35">
      <c r="A7" s="2" t="s">
        <v>76</v>
      </c>
      <c r="B7" s="2" t="s">
        <v>73</v>
      </c>
      <c r="C7" s="4">
        <v>240</v>
      </c>
      <c r="D7" s="2" t="s">
        <v>74</v>
      </c>
      <c r="E7" s="6">
        <v>1</v>
      </c>
      <c r="F7" s="5">
        <v>0.475</v>
      </c>
      <c r="G7" s="5">
        <v>0.3625</v>
      </c>
      <c r="H7" s="5">
        <v>0.2208</v>
      </c>
      <c r="I7" s="5">
        <v>0.1792</v>
      </c>
      <c r="J7" s="6">
        <v>0.15</v>
      </c>
      <c r="K7" s="5">
        <v>0.1417</v>
      </c>
      <c r="L7" s="6">
        <v>0.1</v>
      </c>
      <c r="M7" s="5">
        <v>0.1042</v>
      </c>
      <c r="N7" s="5">
        <v>0.0708</v>
      </c>
      <c r="O7" s="5">
        <v>0.0792</v>
      </c>
      <c r="P7" s="5">
        <v>0.0708</v>
      </c>
      <c r="Q7" s="5">
        <v>0.0625</v>
      </c>
      <c r="R7" s="5">
        <v>0.0667</v>
      </c>
      <c r="S7" s="5">
        <v>0.0375</v>
      </c>
      <c r="T7" s="5">
        <v>0.0417</v>
      </c>
      <c r="U7" s="5">
        <v>0.0375</v>
      </c>
      <c r="V7" s="5">
        <v>0.0333</v>
      </c>
      <c r="W7" s="5">
        <v>0.0292</v>
      </c>
      <c r="X7" s="5">
        <v>0.0375</v>
      </c>
      <c r="Y7" s="5">
        <v>0.0375</v>
      </c>
      <c r="Z7" s="5">
        <v>0.0208</v>
      </c>
      <c r="AA7" s="5">
        <v>0.0333</v>
      </c>
      <c r="AB7" s="5">
        <v>0.0292</v>
      </c>
      <c r="AC7" s="5">
        <v>0.0208</v>
      </c>
      <c r="AD7" s="5">
        <v>0.0167</v>
      </c>
      <c r="AE7" s="5">
        <v>0.0083</v>
      </c>
      <c r="AF7" s="5">
        <v>0.0292</v>
      </c>
      <c r="AG7" s="5">
        <v>0.0042</v>
      </c>
      <c r="AH7" s="5">
        <v>0.0208</v>
      </c>
      <c r="AI7" s="5">
        <v>0.0125</v>
      </c>
    </row>
    <row r="8" ht="16.5" hidden="1" spans="1:35">
      <c r="A8" s="2" t="s">
        <v>77</v>
      </c>
      <c r="B8" s="2" t="s">
        <v>73</v>
      </c>
      <c r="C8" s="4">
        <v>400</v>
      </c>
      <c r="D8" s="2" t="s">
        <v>19</v>
      </c>
      <c r="E8" s="4">
        <v>400</v>
      </c>
      <c r="F8" s="4">
        <v>177</v>
      </c>
      <c r="G8" s="4">
        <v>114</v>
      </c>
      <c r="H8" s="4">
        <v>86</v>
      </c>
      <c r="I8" s="4">
        <v>68</v>
      </c>
      <c r="J8" s="4">
        <v>55</v>
      </c>
      <c r="K8" s="4">
        <v>55</v>
      </c>
      <c r="L8" s="4">
        <v>49</v>
      </c>
      <c r="M8" s="4">
        <v>36</v>
      </c>
      <c r="N8" s="4">
        <v>36</v>
      </c>
      <c r="O8" s="4">
        <v>26</v>
      </c>
      <c r="P8" s="4">
        <v>20</v>
      </c>
      <c r="Q8" s="4">
        <v>21</v>
      </c>
      <c r="R8" s="4">
        <v>18</v>
      </c>
      <c r="S8" s="4">
        <v>22</v>
      </c>
      <c r="T8" s="4">
        <v>13</v>
      </c>
      <c r="U8" s="4">
        <v>12</v>
      </c>
      <c r="V8" s="4">
        <v>11</v>
      </c>
      <c r="W8" s="4">
        <v>11</v>
      </c>
      <c r="X8" s="4">
        <v>11</v>
      </c>
      <c r="Y8" s="4">
        <v>9</v>
      </c>
      <c r="Z8" s="4">
        <v>10</v>
      </c>
      <c r="AA8" s="4">
        <v>10</v>
      </c>
      <c r="AB8" s="4">
        <v>9</v>
      </c>
      <c r="AC8" s="4">
        <v>10</v>
      </c>
      <c r="AD8" s="4">
        <v>7</v>
      </c>
      <c r="AE8" s="4">
        <v>6</v>
      </c>
      <c r="AF8" s="4">
        <v>8</v>
      </c>
      <c r="AG8" s="4">
        <v>7</v>
      </c>
      <c r="AH8" s="4">
        <v>7</v>
      </c>
      <c r="AI8" s="4">
        <v>6</v>
      </c>
    </row>
    <row r="9" ht="16.5" hidden="1" spans="1:35">
      <c r="A9" s="2" t="s">
        <v>77</v>
      </c>
      <c r="B9" s="2" t="s">
        <v>73</v>
      </c>
      <c r="C9" s="4">
        <v>400</v>
      </c>
      <c r="D9" s="2" t="s">
        <v>74</v>
      </c>
      <c r="E9" s="6">
        <v>1</v>
      </c>
      <c r="F9" s="5">
        <v>0.4425</v>
      </c>
      <c r="G9" s="5">
        <v>0.285</v>
      </c>
      <c r="H9" s="5">
        <v>0.215</v>
      </c>
      <c r="I9" s="6">
        <v>0.17</v>
      </c>
      <c r="J9" s="5">
        <v>0.1375</v>
      </c>
      <c r="K9" s="5">
        <v>0.1375</v>
      </c>
      <c r="L9" s="5">
        <v>0.1225</v>
      </c>
      <c r="M9" s="6">
        <v>0.09</v>
      </c>
      <c r="N9" s="6">
        <v>0.09</v>
      </c>
      <c r="O9" s="5">
        <v>0.065</v>
      </c>
      <c r="P9" s="6">
        <v>0.05</v>
      </c>
      <c r="Q9" s="5">
        <v>0.0525</v>
      </c>
      <c r="R9" s="5">
        <v>0.045</v>
      </c>
      <c r="S9" s="5">
        <v>0.055</v>
      </c>
      <c r="T9" s="5">
        <v>0.0325</v>
      </c>
      <c r="U9" s="6">
        <v>0.03</v>
      </c>
      <c r="V9" s="5">
        <v>0.0275</v>
      </c>
      <c r="W9" s="5">
        <v>0.0275</v>
      </c>
      <c r="X9" s="5">
        <v>0.0275</v>
      </c>
      <c r="Y9" s="5">
        <v>0.0225</v>
      </c>
      <c r="Z9" s="5">
        <v>0.025</v>
      </c>
      <c r="AA9" s="5">
        <v>0.025</v>
      </c>
      <c r="AB9" s="5">
        <v>0.0225</v>
      </c>
      <c r="AC9" s="5">
        <v>0.025</v>
      </c>
      <c r="AD9" s="5">
        <v>0.0175</v>
      </c>
      <c r="AE9" s="5">
        <v>0.015</v>
      </c>
      <c r="AF9" s="6">
        <v>0.02</v>
      </c>
      <c r="AG9" s="5">
        <v>0.0175</v>
      </c>
      <c r="AH9" s="5">
        <v>0.0175</v>
      </c>
      <c r="AI9" s="5">
        <v>0.015</v>
      </c>
    </row>
    <row r="10" ht="16.5" hidden="1" spans="1:35">
      <c r="A10" s="2" t="s">
        <v>78</v>
      </c>
      <c r="B10" s="2" t="s">
        <v>73</v>
      </c>
      <c r="C10" s="4">
        <v>611</v>
      </c>
      <c r="D10" s="2" t="s">
        <v>19</v>
      </c>
      <c r="E10" s="4">
        <v>611</v>
      </c>
      <c r="F10" s="4">
        <v>268</v>
      </c>
      <c r="G10" s="4">
        <v>186</v>
      </c>
      <c r="H10" s="4">
        <v>144</v>
      </c>
      <c r="I10" s="4">
        <v>118</v>
      </c>
      <c r="J10" s="4">
        <v>106</v>
      </c>
      <c r="K10" s="4">
        <v>87</v>
      </c>
      <c r="L10" s="4">
        <v>76</v>
      </c>
      <c r="M10" s="4">
        <v>61</v>
      </c>
      <c r="N10" s="4">
        <v>50</v>
      </c>
      <c r="O10" s="4">
        <v>46</v>
      </c>
      <c r="P10" s="4">
        <v>40</v>
      </c>
      <c r="Q10" s="4">
        <v>32</v>
      </c>
      <c r="R10" s="4">
        <v>32</v>
      </c>
      <c r="S10" s="4">
        <v>34</v>
      </c>
      <c r="T10" s="4">
        <v>27</v>
      </c>
      <c r="U10" s="4">
        <v>30</v>
      </c>
      <c r="V10" s="4">
        <v>27</v>
      </c>
      <c r="W10" s="4">
        <v>26</v>
      </c>
      <c r="X10" s="4">
        <v>22</v>
      </c>
      <c r="Y10" s="4">
        <v>22</v>
      </c>
      <c r="Z10" s="4">
        <v>15</v>
      </c>
      <c r="AA10" s="4">
        <v>17</v>
      </c>
      <c r="AB10" s="4">
        <v>13</v>
      </c>
      <c r="AC10" s="4">
        <v>20</v>
      </c>
      <c r="AD10" s="4">
        <v>17</v>
      </c>
      <c r="AE10" s="4">
        <v>15</v>
      </c>
      <c r="AF10" s="4">
        <v>12</v>
      </c>
      <c r="AG10" s="4">
        <v>9</v>
      </c>
      <c r="AH10" s="4">
        <v>15</v>
      </c>
      <c r="AI10" s="4">
        <v>9</v>
      </c>
    </row>
    <row r="11" ht="16.5" hidden="1" spans="1:35">
      <c r="A11" s="2" t="s">
        <v>78</v>
      </c>
      <c r="B11" s="2" t="s">
        <v>73</v>
      </c>
      <c r="C11" s="4">
        <v>611</v>
      </c>
      <c r="D11" s="2" t="s">
        <v>74</v>
      </c>
      <c r="E11" s="6">
        <v>1</v>
      </c>
      <c r="F11" s="5">
        <v>0.4386</v>
      </c>
      <c r="G11" s="5">
        <v>0.3044</v>
      </c>
      <c r="H11" s="5">
        <v>0.2357</v>
      </c>
      <c r="I11" s="5">
        <v>0.1931</v>
      </c>
      <c r="J11" s="5">
        <v>0.1735</v>
      </c>
      <c r="K11" s="5">
        <v>0.1424</v>
      </c>
      <c r="L11" s="5">
        <v>0.1244</v>
      </c>
      <c r="M11" s="5">
        <v>0.0998</v>
      </c>
      <c r="N11" s="5">
        <v>0.0818</v>
      </c>
      <c r="O11" s="5">
        <v>0.0753</v>
      </c>
      <c r="P11" s="5">
        <v>0.0655</v>
      </c>
      <c r="Q11" s="5">
        <v>0.0524</v>
      </c>
      <c r="R11" s="5">
        <v>0.0524</v>
      </c>
      <c r="S11" s="5">
        <v>0.0556</v>
      </c>
      <c r="T11" s="5">
        <v>0.0442</v>
      </c>
      <c r="U11" s="5">
        <v>0.0491</v>
      </c>
      <c r="V11" s="5">
        <v>0.0442</v>
      </c>
      <c r="W11" s="5">
        <v>0.0426</v>
      </c>
      <c r="X11" s="5">
        <v>0.036</v>
      </c>
      <c r="Y11" s="5">
        <v>0.036</v>
      </c>
      <c r="Z11" s="5">
        <v>0.0245</v>
      </c>
      <c r="AA11" s="5">
        <v>0.0278</v>
      </c>
      <c r="AB11" s="5">
        <v>0.0213</v>
      </c>
      <c r="AC11" s="5">
        <v>0.0327</v>
      </c>
      <c r="AD11" s="5">
        <v>0.0278</v>
      </c>
      <c r="AE11" s="5">
        <v>0.0245</v>
      </c>
      <c r="AF11" s="5">
        <v>0.0196</v>
      </c>
      <c r="AG11" s="5">
        <v>0.0147</v>
      </c>
      <c r="AH11" s="5">
        <v>0.0245</v>
      </c>
      <c r="AI11" s="5">
        <v>0.0147</v>
      </c>
    </row>
    <row r="12" ht="16.5" hidden="1" spans="1:35">
      <c r="A12" s="2" t="s">
        <v>79</v>
      </c>
      <c r="B12" s="2" t="s">
        <v>73</v>
      </c>
      <c r="C12" s="4">
        <v>561</v>
      </c>
      <c r="D12" s="2" t="s">
        <v>19</v>
      </c>
      <c r="E12" s="4">
        <v>561</v>
      </c>
      <c r="F12" s="4">
        <v>253</v>
      </c>
      <c r="G12" s="4">
        <v>160</v>
      </c>
      <c r="H12" s="4">
        <v>131</v>
      </c>
      <c r="I12" s="4">
        <v>105</v>
      </c>
      <c r="J12" s="4">
        <v>79</v>
      </c>
      <c r="K12" s="4">
        <v>65</v>
      </c>
      <c r="L12" s="4">
        <v>61</v>
      </c>
      <c r="M12" s="4">
        <v>43</v>
      </c>
      <c r="N12" s="4">
        <v>50</v>
      </c>
      <c r="O12" s="4">
        <v>41</v>
      </c>
      <c r="P12" s="4">
        <v>43</v>
      </c>
      <c r="Q12" s="4">
        <v>39</v>
      </c>
      <c r="R12" s="4">
        <v>25</v>
      </c>
      <c r="S12" s="4">
        <v>21</v>
      </c>
      <c r="T12" s="4">
        <v>23</v>
      </c>
      <c r="U12" s="4">
        <v>22</v>
      </c>
      <c r="V12" s="4">
        <v>13</v>
      </c>
      <c r="W12" s="4">
        <v>19</v>
      </c>
      <c r="X12" s="4">
        <v>12</v>
      </c>
      <c r="Y12" s="4">
        <v>22</v>
      </c>
      <c r="Z12" s="4">
        <v>13</v>
      </c>
      <c r="AA12" s="4">
        <v>11</v>
      </c>
      <c r="AB12" s="4">
        <v>8</v>
      </c>
      <c r="AC12" s="4">
        <v>11</v>
      </c>
      <c r="AD12" s="4">
        <v>8</v>
      </c>
      <c r="AE12" s="4">
        <v>9</v>
      </c>
      <c r="AF12" s="4">
        <v>5</v>
      </c>
      <c r="AG12" s="4">
        <v>7</v>
      </c>
      <c r="AH12" s="4">
        <v>10</v>
      </c>
      <c r="AI12" s="4">
        <v>10</v>
      </c>
    </row>
    <row r="13" ht="16.5" hidden="1" spans="1:35">
      <c r="A13" s="2" t="s">
        <v>79</v>
      </c>
      <c r="B13" s="2" t="s">
        <v>73</v>
      </c>
      <c r="C13" s="4">
        <v>561</v>
      </c>
      <c r="D13" s="2" t="s">
        <v>74</v>
      </c>
      <c r="E13" s="6">
        <v>1</v>
      </c>
      <c r="F13" s="5">
        <v>0.451</v>
      </c>
      <c r="G13" s="5">
        <v>0.2852</v>
      </c>
      <c r="H13" s="5">
        <v>0.2335</v>
      </c>
      <c r="I13" s="5">
        <v>0.1872</v>
      </c>
      <c r="J13" s="5">
        <v>0.1408</v>
      </c>
      <c r="K13" s="5">
        <v>0.1159</v>
      </c>
      <c r="L13" s="5">
        <v>0.1087</v>
      </c>
      <c r="M13" s="5">
        <v>0.0766</v>
      </c>
      <c r="N13" s="5">
        <v>0.0891</v>
      </c>
      <c r="O13" s="5">
        <v>0.0731</v>
      </c>
      <c r="P13" s="5">
        <v>0.0766</v>
      </c>
      <c r="Q13" s="5">
        <v>0.0695</v>
      </c>
      <c r="R13" s="5">
        <v>0.0446</v>
      </c>
      <c r="S13" s="5">
        <v>0.0374</v>
      </c>
      <c r="T13" s="5">
        <v>0.041</v>
      </c>
      <c r="U13" s="5">
        <v>0.0392</v>
      </c>
      <c r="V13" s="5">
        <v>0.0232</v>
      </c>
      <c r="W13" s="5">
        <v>0.0339</v>
      </c>
      <c r="X13" s="5">
        <v>0.0214</v>
      </c>
      <c r="Y13" s="5">
        <v>0.0392</v>
      </c>
      <c r="Z13" s="5">
        <v>0.0232</v>
      </c>
      <c r="AA13" s="5">
        <v>0.0196</v>
      </c>
      <c r="AB13" s="5">
        <v>0.0143</v>
      </c>
      <c r="AC13" s="5">
        <v>0.0196</v>
      </c>
      <c r="AD13" s="5">
        <v>0.0143</v>
      </c>
      <c r="AE13" s="5">
        <v>0.016</v>
      </c>
      <c r="AF13" s="5">
        <v>0.0089</v>
      </c>
      <c r="AG13" s="5">
        <v>0.0125</v>
      </c>
      <c r="AH13" s="5">
        <v>0.0178</v>
      </c>
      <c r="AI13" s="5">
        <v>0.0178</v>
      </c>
    </row>
    <row r="14" ht="16.5" hidden="1" spans="1:35">
      <c r="A14" s="2" t="s">
        <v>80</v>
      </c>
      <c r="B14" s="2" t="s">
        <v>73</v>
      </c>
      <c r="C14" s="4">
        <v>533</v>
      </c>
      <c r="D14" s="2" t="s">
        <v>19</v>
      </c>
      <c r="E14" s="4">
        <v>533</v>
      </c>
      <c r="F14" s="4">
        <v>248</v>
      </c>
      <c r="G14" s="4">
        <v>163</v>
      </c>
      <c r="H14" s="4">
        <v>143</v>
      </c>
      <c r="I14" s="4">
        <v>110</v>
      </c>
      <c r="J14" s="4">
        <v>87</v>
      </c>
      <c r="K14" s="4">
        <v>64</v>
      </c>
      <c r="L14" s="4">
        <v>68</v>
      </c>
      <c r="M14" s="4">
        <v>57</v>
      </c>
      <c r="N14" s="4">
        <v>47</v>
      </c>
      <c r="O14" s="4">
        <v>47</v>
      </c>
      <c r="P14" s="4">
        <v>35</v>
      </c>
      <c r="Q14" s="4">
        <v>28</v>
      </c>
      <c r="R14" s="4">
        <v>27</v>
      </c>
      <c r="S14" s="4">
        <v>34</v>
      </c>
      <c r="T14" s="4">
        <v>34</v>
      </c>
      <c r="U14" s="4">
        <v>23</v>
      </c>
      <c r="V14" s="4">
        <v>27</v>
      </c>
      <c r="W14" s="4">
        <v>23</v>
      </c>
      <c r="X14" s="4">
        <v>13</v>
      </c>
      <c r="Y14" s="4">
        <v>17</v>
      </c>
      <c r="Z14" s="4">
        <v>15</v>
      </c>
      <c r="AA14" s="4">
        <v>22</v>
      </c>
      <c r="AB14" s="4">
        <v>11</v>
      </c>
      <c r="AC14" s="4">
        <v>7</v>
      </c>
      <c r="AD14" s="4">
        <v>9</v>
      </c>
      <c r="AE14" s="4">
        <v>8</v>
      </c>
      <c r="AF14" s="4">
        <v>12</v>
      </c>
      <c r="AG14" s="4">
        <v>13</v>
      </c>
      <c r="AH14" s="4">
        <v>10</v>
      </c>
      <c r="AI14" s="4">
        <v>9</v>
      </c>
    </row>
    <row r="15" ht="16.5" hidden="1" spans="1:35">
      <c r="A15" s="2" t="s">
        <v>80</v>
      </c>
      <c r="B15" s="2" t="s">
        <v>73</v>
      </c>
      <c r="C15" s="4">
        <v>533</v>
      </c>
      <c r="D15" s="2" t="s">
        <v>74</v>
      </c>
      <c r="E15" s="6">
        <v>1</v>
      </c>
      <c r="F15" s="5">
        <v>0.4653</v>
      </c>
      <c r="G15" s="5">
        <v>0.3058</v>
      </c>
      <c r="H15" s="5">
        <v>0.2683</v>
      </c>
      <c r="I15" s="5">
        <v>0.2064</v>
      </c>
      <c r="J15" s="5">
        <v>0.1632</v>
      </c>
      <c r="K15" s="5">
        <v>0.1201</v>
      </c>
      <c r="L15" s="5">
        <v>0.1276</v>
      </c>
      <c r="M15" s="5">
        <v>0.1069</v>
      </c>
      <c r="N15" s="5">
        <v>0.0882</v>
      </c>
      <c r="O15" s="5">
        <v>0.0882</v>
      </c>
      <c r="P15" s="5">
        <v>0.0657</v>
      </c>
      <c r="Q15" s="5">
        <v>0.0525</v>
      </c>
      <c r="R15" s="5">
        <v>0.0507</v>
      </c>
      <c r="S15" s="5">
        <v>0.0638</v>
      </c>
      <c r="T15" s="5">
        <v>0.0638</v>
      </c>
      <c r="U15" s="5">
        <v>0.0432</v>
      </c>
      <c r="V15" s="5">
        <v>0.0507</v>
      </c>
      <c r="W15" s="5">
        <v>0.0432</v>
      </c>
      <c r="X15" s="5">
        <v>0.0244</v>
      </c>
      <c r="Y15" s="5">
        <v>0.0319</v>
      </c>
      <c r="Z15" s="5">
        <v>0.0281</v>
      </c>
      <c r="AA15" s="5">
        <v>0.0413</v>
      </c>
      <c r="AB15" s="5">
        <v>0.0206</v>
      </c>
      <c r="AC15" s="5">
        <v>0.0131</v>
      </c>
      <c r="AD15" s="5">
        <v>0.0169</v>
      </c>
      <c r="AE15" s="5">
        <v>0.015</v>
      </c>
      <c r="AF15" s="5">
        <v>0.0225</v>
      </c>
      <c r="AG15" s="5">
        <v>0.0244</v>
      </c>
      <c r="AH15" s="5">
        <v>0.0188</v>
      </c>
      <c r="AI15" s="5">
        <v>0.0169</v>
      </c>
    </row>
    <row r="16" ht="16.5" hidden="1" spans="1:35">
      <c r="A16" s="2" t="s">
        <v>81</v>
      </c>
      <c r="B16" s="2" t="s">
        <v>73</v>
      </c>
      <c r="C16" s="4">
        <v>525</v>
      </c>
      <c r="D16" s="2" t="s">
        <v>19</v>
      </c>
      <c r="E16" s="4">
        <v>525</v>
      </c>
      <c r="F16" s="4">
        <v>242</v>
      </c>
      <c r="G16" s="4">
        <v>158</v>
      </c>
      <c r="H16" s="4">
        <v>128</v>
      </c>
      <c r="I16" s="4">
        <v>108</v>
      </c>
      <c r="J16" s="4">
        <v>97</v>
      </c>
      <c r="K16" s="4">
        <v>80</v>
      </c>
      <c r="L16" s="4">
        <v>68</v>
      </c>
      <c r="M16" s="4">
        <v>54</v>
      </c>
      <c r="N16" s="4">
        <v>39</v>
      </c>
      <c r="O16" s="4">
        <v>44</v>
      </c>
      <c r="P16" s="4">
        <v>41</v>
      </c>
      <c r="Q16" s="4">
        <v>40</v>
      </c>
      <c r="R16" s="4">
        <v>35</v>
      </c>
      <c r="S16" s="4">
        <v>37</v>
      </c>
      <c r="T16" s="4">
        <v>37</v>
      </c>
      <c r="U16" s="4">
        <v>26</v>
      </c>
      <c r="V16" s="4">
        <v>17</v>
      </c>
      <c r="W16" s="4">
        <v>21</v>
      </c>
      <c r="X16" s="4">
        <v>17</v>
      </c>
      <c r="Y16" s="4">
        <v>21</v>
      </c>
      <c r="Z16" s="4">
        <v>19</v>
      </c>
      <c r="AA16" s="4">
        <v>21</v>
      </c>
      <c r="AB16" s="4">
        <v>20</v>
      </c>
      <c r="AC16" s="4">
        <v>20</v>
      </c>
      <c r="AD16" s="4">
        <v>22</v>
      </c>
      <c r="AE16" s="4">
        <v>18</v>
      </c>
      <c r="AF16" s="4">
        <v>14</v>
      </c>
      <c r="AG16" s="4">
        <v>14</v>
      </c>
      <c r="AH16" s="4">
        <v>12</v>
      </c>
      <c r="AI16" s="4">
        <v>8</v>
      </c>
    </row>
    <row r="17" ht="16.5" hidden="1" spans="1:35">
      <c r="A17" s="2" t="s">
        <v>81</v>
      </c>
      <c r="B17" s="2" t="s">
        <v>73</v>
      </c>
      <c r="C17" s="4">
        <v>525</v>
      </c>
      <c r="D17" s="2" t="s">
        <v>74</v>
      </c>
      <c r="E17" s="6">
        <v>1</v>
      </c>
      <c r="F17" s="5">
        <v>0.461</v>
      </c>
      <c r="G17" s="5">
        <v>0.301</v>
      </c>
      <c r="H17" s="5">
        <v>0.2438</v>
      </c>
      <c r="I17" s="5">
        <v>0.2057</v>
      </c>
      <c r="J17" s="5">
        <v>0.1848</v>
      </c>
      <c r="K17" s="5">
        <v>0.1524</v>
      </c>
      <c r="L17" s="5">
        <v>0.1295</v>
      </c>
      <c r="M17" s="5">
        <v>0.1029</v>
      </c>
      <c r="N17" s="5">
        <v>0.0743</v>
      </c>
      <c r="O17" s="5">
        <v>0.0838</v>
      </c>
      <c r="P17" s="5">
        <v>0.0781</v>
      </c>
      <c r="Q17" s="5">
        <v>0.0762</v>
      </c>
      <c r="R17" s="5">
        <v>0.0667</v>
      </c>
      <c r="S17" s="5">
        <v>0.0705</v>
      </c>
      <c r="T17" s="5">
        <v>0.0705</v>
      </c>
      <c r="U17" s="5">
        <v>0.0495</v>
      </c>
      <c r="V17" s="5">
        <v>0.0324</v>
      </c>
      <c r="W17" s="6">
        <v>0.04</v>
      </c>
      <c r="X17" s="5">
        <v>0.0324</v>
      </c>
      <c r="Y17" s="6">
        <v>0.04</v>
      </c>
      <c r="Z17" s="5">
        <v>0.0362</v>
      </c>
      <c r="AA17" s="6">
        <v>0.04</v>
      </c>
      <c r="AB17" s="5">
        <v>0.0381</v>
      </c>
      <c r="AC17" s="5">
        <v>0.0381</v>
      </c>
      <c r="AD17" s="5">
        <v>0.0419</v>
      </c>
      <c r="AE17" s="5">
        <v>0.0343</v>
      </c>
      <c r="AF17" s="5">
        <v>0.0267</v>
      </c>
      <c r="AG17" s="5">
        <v>0.0267</v>
      </c>
      <c r="AH17" s="5">
        <v>0.0229</v>
      </c>
      <c r="AI17" s="5">
        <v>0.0152</v>
      </c>
    </row>
    <row r="18" ht="16.5" hidden="1" spans="1:35">
      <c r="A18" s="2" t="s">
        <v>82</v>
      </c>
      <c r="B18" s="2" t="s">
        <v>73</v>
      </c>
      <c r="C18" s="4">
        <v>570</v>
      </c>
      <c r="D18" s="2" t="s">
        <v>19</v>
      </c>
      <c r="E18" s="4">
        <v>570</v>
      </c>
      <c r="F18" s="4">
        <v>270</v>
      </c>
      <c r="G18" s="4">
        <v>184</v>
      </c>
      <c r="H18" s="4">
        <v>141</v>
      </c>
      <c r="I18" s="4">
        <v>102</v>
      </c>
      <c r="J18" s="4">
        <v>80</v>
      </c>
      <c r="K18" s="4">
        <v>75</v>
      </c>
      <c r="L18" s="4">
        <v>66</v>
      </c>
      <c r="M18" s="4">
        <v>59</v>
      </c>
      <c r="N18" s="4">
        <v>51</v>
      </c>
      <c r="O18" s="4">
        <v>51</v>
      </c>
      <c r="P18" s="4">
        <v>40</v>
      </c>
      <c r="Q18" s="4">
        <v>42</v>
      </c>
      <c r="R18" s="4">
        <v>37</v>
      </c>
      <c r="S18" s="4">
        <v>34</v>
      </c>
      <c r="T18" s="4">
        <v>36</v>
      </c>
      <c r="U18" s="4">
        <v>31</v>
      </c>
      <c r="V18" s="4">
        <v>28</v>
      </c>
      <c r="W18" s="4">
        <v>24</v>
      </c>
      <c r="X18" s="4">
        <v>23</v>
      </c>
      <c r="Y18" s="4">
        <v>27</v>
      </c>
      <c r="Z18" s="4">
        <v>25</v>
      </c>
      <c r="AA18" s="4">
        <v>25</v>
      </c>
      <c r="AB18" s="4">
        <v>19</v>
      </c>
      <c r="AC18" s="4">
        <v>18</v>
      </c>
      <c r="AD18" s="4">
        <v>15</v>
      </c>
      <c r="AE18" s="4">
        <v>12</v>
      </c>
      <c r="AF18" s="4">
        <v>13</v>
      </c>
      <c r="AG18" s="4">
        <v>14</v>
      </c>
      <c r="AH18" s="4">
        <v>14</v>
      </c>
      <c r="AI18" s="4">
        <v>14</v>
      </c>
    </row>
    <row r="19" ht="16.5" hidden="1" spans="1:35">
      <c r="A19" s="2" t="s">
        <v>82</v>
      </c>
      <c r="B19" s="2" t="s">
        <v>73</v>
      </c>
      <c r="C19" s="4">
        <v>570</v>
      </c>
      <c r="D19" s="2" t="s">
        <v>74</v>
      </c>
      <c r="E19" s="6">
        <v>1</v>
      </c>
      <c r="F19" s="5">
        <v>0.4737</v>
      </c>
      <c r="G19" s="5">
        <v>0.3228</v>
      </c>
      <c r="H19" s="5">
        <v>0.2474</v>
      </c>
      <c r="I19" s="5">
        <v>0.1789</v>
      </c>
      <c r="J19" s="5">
        <v>0.1404</v>
      </c>
      <c r="K19" s="5">
        <v>0.1316</v>
      </c>
      <c r="L19" s="5">
        <v>0.1158</v>
      </c>
      <c r="M19" s="5">
        <v>0.1035</v>
      </c>
      <c r="N19" s="5">
        <v>0.0895</v>
      </c>
      <c r="O19" s="5">
        <v>0.0895</v>
      </c>
      <c r="P19" s="5">
        <v>0.0702</v>
      </c>
      <c r="Q19" s="5">
        <v>0.0737</v>
      </c>
      <c r="R19" s="5">
        <v>0.0649</v>
      </c>
      <c r="S19" s="5">
        <v>0.0596</v>
      </c>
      <c r="T19" s="5">
        <v>0.0632</v>
      </c>
      <c r="U19" s="5">
        <v>0.0544</v>
      </c>
      <c r="V19" s="5">
        <v>0.0491</v>
      </c>
      <c r="W19" s="5">
        <v>0.0421</v>
      </c>
      <c r="X19" s="5">
        <v>0.0404</v>
      </c>
      <c r="Y19" s="5">
        <v>0.0474</v>
      </c>
      <c r="Z19" s="5">
        <v>0.0439</v>
      </c>
      <c r="AA19" s="5">
        <v>0.0439</v>
      </c>
      <c r="AB19" s="5">
        <v>0.0333</v>
      </c>
      <c r="AC19" s="5">
        <v>0.0316</v>
      </c>
      <c r="AD19" s="5">
        <v>0.0263</v>
      </c>
      <c r="AE19" s="5">
        <v>0.0211</v>
      </c>
      <c r="AF19" s="5">
        <v>0.0228</v>
      </c>
      <c r="AG19" s="5">
        <v>0.0246</v>
      </c>
      <c r="AH19" s="5">
        <v>0.0246</v>
      </c>
      <c r="AI19" s="5">
        <v>0.0246</v>
      </c>
    </row>
    <row r="20" ht="16.5" hidden="1" spans="1:35">
      <c r="A20" s="2" t="s">
        <v>83</v>
      </c>
      <c r="B20" s="2" t="s">
        <v>73</v>
      </c>
      <c r="C20" s="4">
        <v>606</v>
      </c>
      <c r="D20" s="2" t="s">
        <v>19</v>
      </c>
      <c r="E20" s="4">
        <v>606</v>
      </c>
      <c r="F20" s="4">
        <v>257</v>
      </c>
      <c r="G20" s="4">
        <v>173</v>
      </c>
      <c r="H20" s="4">
        <v>141</v>
      </c>
      <c r="I20" s="4">
        <v>117</v>
      </c>
      <c r="J20" s="4">
        <v>81</v>
      </c>
      <c r="K20" s="4">
        <v>96</v>
      </c>
      <c r="L20" s="4">
        <v>67</v>
      </c>
      <c r="M20" s="4">
        <v>63</v>
      </c>
      <c r="N20" s="4">
        <v>63</v>
      </c>
      <c r="O20" s="4">
        <v>46</v>
      </c>
      <c r="P20" s="4">
        <v>46</v>
      </c>
      <c r="Q20" s="4">
        <v>48</v>
      </c>
      <c r="R20" s="4">
        <v>40</v>
      </c>
      <c r="S20" s="4">
        <v>25</v>
      </c>
      <c r="T20" s="4">
        <v>32</v>
      </c>
      <c r="U20" s="4">
        <v>44</v>
      </c>
      <c r="V20" s="4">
        <v>31</v>
      </c>
      <c r="W20" s="4">
        <v>25</v>
      </c>
      <c r="X20" s="4">
        <v>21</v>
      </c>
      <c r="Y20" s="4">
        <v>23</v>
      </c>
      <c r="Z20" s="4">
        <v>25</v>
      </c>
      <c r="AA20" s="4">
        <v>18</v>
      </c>
      <c r="AB20" s="4">
        <v>19</v>
      </c>
      <c r="AC20" s="4">
        <v>19</v>
      </c>
      <c r="AD20" s="4">
        <v>14</v>
      </c>
      <c r="AE20" s="4">
        <v>15</v>
      </c>
      <c r="AF20" s="4">
        <v>13</v>
      </c>
      <c r="AG20" s="4">
        <v>17</v>
      </c>
      <c r="AH20" s="4">
        <v>17</v>
      </c>
      <c r="AI20" s="4">
        <v>17</v>
      </c>
    </row>
    <row r="21" ht="16.5" hidden="1" spans="1:35">
      <c r="A21" s="2" t="s">
        <v>83</v>
      </c>
      <c r="B21" s="2" t="s">
        <v>73</v>
      </c>
      <c r="C21" s="4">
        <v>606</v>
      </c>
      <c r="D21" s="2" t="s">
        <v>74</v>
      </c>
      <c r="E21" s="6">
        <v>1</v>
      </c>
      <c r="F21" s="5">
        <v>0.4241</v>
      </c>
      <c r="G21" s="5">
        <v>0.2855</v>
      </c>
      <c r="H21" s="5">
        <v>0.2327</v>
      </c>
      <c r="I21" s="5">
        <v>0.1931</v>
      </c>
      <c r="J21" s="5">
        <v>0.1337</v>
      </c>
      <c r="K21" s="5">
        <v>0.1584</v>
      </c>
      <c r="L21" s="5">
        <v>0.1106</v>
      </c>
      <c r="M21" s="5">
        <v>0.104</v>
      </c>
      <c r="N21" s="5">
        <v>0.104</v>
      </c>
      <c r="O21" s="5">
        <v>0.0759</v>
      </c>
      <c r="P21" s="5">
        <v>0.0759</v>
      </c>
      <c r="Q21" s="5">
        <v>0.0792</v>
      </c>
      <c r="R21" s="5">
        <v>0.066</v>
      </c>
      <c r="S21" s="5">
        <v>0.0413</v>
      </c>
      <c r="T21" s="5">
        <v>0.0528</v>
      </c>
      <c r="U21" s="5">
        <v>0.0726</v>
      </c>
      <c r="V21" s="5">
        <v>0.0512</v>
      </c>
      <c r="W21" s="5">
        <v>0.0413</v>
      </c>
      <c r="X21" s="5">
        <v>0.0347</v>
      </c>
      <c r="Y21" s="5">
        <v>0.038</v>
      </c>
      <c r="Z21" s="5">
        <v>0.0413</v>
      </c>
      <c r="AA21" s="5">
        <v>0.0297</v>
      </c>
      <c r="AB21" s="5">
        <v>0.0314</v>
      </c>
      <c r="AC21" s="5">
        <v>0.0314</v>
      </c>
      <c r="AD21" s="5">
        <v>0.0231</v>
      </c>
      <c r="AE21" s="5">
        <v>0.0248</v>
      </c>
      <c r="AF21" s="5">
        <v>0.0215</v>
      </c>
      <c r="AG21" s="5">
        <v>0.0281</v>
      </c>
      <c r="AH21" s="5">
        <v>0.0281</v>
      </c>
      <c r="AI21" s="5">
        <v>0.0281</v>
      </c>
    </row>
    <row r="22" ht="16.5" hidden="1" spans="1:35">
      <c r="A22" s="2" t="s">
        <v>84</v>
      </c>
      <c r="B22" s="2" t="s">
        <v>73</v>
      </c>
      <c r="C22" s="4">
        <v>674</v>
      </c>
      <c r="D22" s="2" t="s">
        <v>19</v>
      </c>
      <c r="E22" s="4">
        <v>674</v>
      </c>
      <c r="F22" s="4">
        <v>260</v>
      </c>
      <c r="G22" s="4">
        <v>173</v>
      </c>
      <c r="H22" s="4">
        <v>139</v>
      </c>
      <c r="I22" s="4">
        <v>102</v>
      </c>
      <c r="J22" s="4">
        <v>94</v>
      </c>
      <c r="K22" s="4">
        <v>71</v>
      </c>
      <c r="L22" s="4">
        <v>64</v>
      </c>
      <c r="M22" s="4">
        <v>64</v>
      </c>
      <c r="N22" s="4">
        <v>48</v>
      </c>
      <c r="O22" s="4">
        <v>38</v>
      </c>
      <c r="P22" s="4">
        <v>34</v>
      </c>
      <c r="Q22" s="4">
        <v>42</v>
      </c>
      <c r="R22" s="4">
        <v>30</v>
      </c>
      <c r="S22" s="4">
        <v>28</v>
      </c>
      <c r="T22" s="4">
        <v>27</v>
      </c>
      <c r="U22" s="4">
        <v>27</v>
      </c>
      <c r="V22" s="4">
        <v>24</v>
      </c>
      <c r="W22" s="4">
        <v>16</v>
      </c>
      <c r="X22" s="4">
        <v>14</v>
      </c>
      <c r="Y22" s="4">
        <v>19</v>
      </c>
      <c r="Z22" s="4">
        <v>18</v>
      </c>
      <c r="AA22" s="4">
        <v>11</v>
      </c>
      <c r="AB22" s="4">
        <v>21</v>
      </c>
      <c r="AC22" s="4">
        <v>13</v>
      </c>
      <c r="AD22" s="4">
        <v>13</v>
      </c>
      <c r="AE22" s="4">
        <v>15</v>
      </c>
      <c r="AF22" s="4">
        <v>15</v>
      </c>
      <c r="AG22" s="4">
        <v>16</v>
      </c>
      <c r="AH22" s="4">
        <v>16</v>
      </c>
      <c r="AI22" s="4">
        <v>10</v>
      </c>
    </row>
    <row r="23" ht="16.5" hidden="1" spans="1:35">
      <c r="A23" s="2" t="s">
        <v>84</v>
      </c>
      <c r="B23" s="2" t="s">
        <v>73</v>
      </c>
      <c r="C23" s="4">
        <v>674</v>
      </c>
      <c r="D23" s="2" t="s">
        <v>74</v>
      </c>
      <c r="E23" s="6">
        <v>1</v>
      </c>
      <c r="F23" s="5">
        <v>0.3858</v>
      </c>
      <c r="G23" s="5">
        <v>0.2567</v>
      </c>
      <c r="H23" s="5">
        <v>0.2062</v>
      </c>
      <c r="I23" s="5">
        <v>0.1513</v>
      </c>
      <c r="J23" s="5">
        <v>0.1395</v>
      </c>
      <c r="K23" s="5">
        <v>0.1053</v>
      </c>
      <c r="L23" s="5">
        <v>0.095</v>
      </c>
      <c r="M23" s="5">
        <v>0.095</v>
      </c>
      <c r="N23" s="5">
        <v>0.0712</v>
      </c>
      <c r="O23" s="5">
        <v>0.0564</v>
      </c>
      <c r="P23" s="5">
        <v>0.0504</v>
      </c>
      <c r="Q23" s="5">
        <v>0.0623</v>
      </c>
      <c r="R23" s="5">
        <v>0.0445</v>
      </c>
      <c r="S23" s="5">
        <v>0.0415</v>
      </c>
      <c r="T23" s="5">
        <v>0.0401</v>
      </c>
      <c r="U23" s="5">
        <v>0.0401</v>
      </c>
      <c r="V23" s="5">
        <v>0.0356</v>
      </c>
      <c r="W23" s="5">
        <v>0.0237</v>
      </c>
      <c r="X23" s="5">
        <v>0.0208</v>
      </c>
      <c r="Y23" s="5">
        <v>0.0282</v>
      </c>
      <c r="Z23" s="5">
        <v>0.0267</v>
      </c>
      <c r="AA23" s="5">
        <v>0.0163</v>
      </c>
      <c r="AB23" s="5">
        <v>0.0312</v>
      </c>
      <c r="AC23" s="5">
        <v>0.0193</v>
      </c>
      <c r="AD23" s="5">
        <v>0.0193</v>
      </c>
      <c r="AE23" s="5">
        <v>0.0223</v>
      </c>
      <c r="AF23" s="5">
        <v>0.0223</v>
      </c>
      <c r="AG23" s="5">
        <v>0.0237</v>
      </c>
      <c r="AH23" s="5">
        <v>0.0237</v>
      </c>
      <c r="AI23" s="5">
        <v>0.0148</v>
      </c>
    </row>
    <row r="24" ht="16.5" hidden="1" spans="1:35">
      <c r="A24" s="2" t="s">
        <v>85</v>
      </c>
      <c r="B24" s="2" t="s">
        <v>73</v>
      </c>
      <c r="C24" s="4">
        <v>567</v>
      </c>
      <c r="D24" s="2" t="s">
        <v>19</v>
      </c>
      <c r="E24" s="4">
        <v>567</v>
      </c>
      <c r="F24" s="4">
        <v>238</v>
      </c>
      <c r="G24" s="4">
        <v>141</v>
      </c>
      <c r="H24" s="4">
        <v>106</v>
      </c>
      <c r="I24" s="4">
        <v>92</v>
      </c>
      <c r="J24" s="4">
        <v>81</v>
      </c>
      <c r="K24" s="4">
        <v>66</v>
      </c>
      <c r="L24" s="4">
        <v>53</v>
      </c>
      <c r="M24" s="4">
        <v>47</v>
      </c>
      <c r="N24" s="4">
        <v>48</v>
      </c>
      <c r="O24" s="4">
        <v>38</v>
      </c>
      <c r="P24" s="4">
        <v>35</v>
      </c>
      <c r="Q24" s="4">
        <v>34</v>
      </c>
      <c r="R24" s="4">
        <v>30</v>
      </c>
      <c r="S24" s="4">
        <v>25</v>
      </c>
      <c r="T24" s="4">
        <v>20</v>
      </c>
      <c r="U24" s="4">
        <v>20</v>
      </c>
      <c r="V24" s="4">
        <v>24</v>
      </c>
      <c r="W24" s="4">
        <v>18</v>
      </c>
      <c r="X24" s="4">
        <v>13</v>
      </c>
      <c r="Y24" s="4">
        <v>19</v>
      </c>
      <c r="Z24" s="4">
        <v>16</v>
      </c>
      <c r="AA24" s="4">
        <v>17</v>
      </c>
      <c r="AB24" s="4">
        <v>11</v>
      </c>
      <c r="AC24" s="4">
        <v>9</v>
      </c>
      <c r="AD24" s="4">
        <v>15</v>
      </c>
      <c r="AE24" s="4">
        <v>10</v>
      </c>
      <c r="AF24" s="4">
        <v>13</v>
      </c>
      <c r="AG24" s="4">
        <v>10</v>
      </c>
      <c r="AH24" s="4">
        <v>9</v>
      </c>
      <c r="AI24" s="4">
        <v>9</v>
      </c>
    </row>
    <row r="25" ht="16.5" hidden="1" spans="1:35">
      <c r="A25" s="2" t="s">
        <v>85</v>
      </c>
      <c r="B25" s="2" t="s">
        <v>73</v>
      </c>
      <c r="C25" s="4">
        <v>567</v>
      </c>
      <c r="D25" s="2" t="s">
        <v>74</v>
      </c>
      <c r="E25" s="6">
        <v>1</v>
      </c>
      <c r="F25" s="5">
        <v>0.4198</v>
      </c>
      <c r="G25" s="5">
        <v>0.2487</v>
      </c>
      <c r="H25" s="5">
        <v>0.1869</v>
      </c>
      <c r="I25" s="5">
        <v>0.1623</v>
      </c>
      <c r="J25" s="5">
        <v>0.1429</v>
      </c>
      <c r="K25" s="5">
        <v>0.1164</v>
      </c>
      <c r="L25" s="5">
        <v>0.0935</v>
      </c>
      <c r="M25" s="5">
        <v>0.0829</v>
      </c>
      <c r="N25" s="5">
        <v>0.0847</v>
      </c>
      <c r="O25" s="5">
        <v>0.067</v>
      </c>
      <c r="P25" s="5">
        <v>0.0617</v>
      </c>
      <c r="Q25" s="6">
        <v>0.06</v>
      </c>
      <c r="R25" s="5">
        <v>0.0529</v>
      </c>
      <c r="S25" s="5">
        <v>0.0441</v>
      </c>
      <c r="T25" s="5">
        <v>0.0353</v>
      </c>
      <c r="U25" s="5">
        <v>0.0353</v>
      </c>
      <c r="V25" s="5">
        <v>0.0423</v>
      </c>
      <c r="W25" s="5">
        <v>0.0317</v>
      </c>
      <c r="X25" s="5">
        <v>0.0229</v>
      </c>
      <c r="Y25" s="5">
        <v>0.0335</v>
      </c>
      <c r="Z25" s="5">
        <v>0.0282</v>
      </c>
      <c r="AA25" s="6">
        <v>0.03</v>
      </c>
      <c r="AB25" s="5">
        <v>0.0194</v>
      </c>
      <c r="AC25" s="5">
        <v>0.0159</v>
      </c>
      <c r="AD25" s="5">
        <v>0.0265</v>
      </c>
      <c r="AE25" s="5">
        <v>0.0176</v>
      </c>
      <c r="AF25" s="5">
        <v>0.0229</v>
      </c>
      <c r="AG25" s="5">
        <v>0.0176</v>
      </c>
      <c r="AH25" s="5">
        <v>0.0159</v>
      </c>
      <c r="AI25" s="5">
        <v>0.0159</v>
      </c>
    </row>
    <row r="26" ht="16.5" hidden="1" spans="1:35">
      <c r="A26" s="2" t="s">
        <v>86</v>
      </c>
      <c r="B26" s="2" t="s">
        <v>73</v>
      </c>
      <c r="C26" s="4">
        <v>374</v>
      </c>
      <c r="D26" s="2" t="s">
        <v>19</v>
      </c>
      <c r="E26" s="4">
        <v>374</v>
      </c>
      <c r="F26" s="4">
        <v>119</v>
      </c>
      <c r="G26" s="4">
        <v>88</v>
      </c>
      <c r="H26" s="4">
        <v>77</v>
      </c>
      <c r="I26" s="4">
        <v>53</v>
      </c>
      <c r="J26" s="4">
        <v>40</v>
      </c>
      <c r="K26" s="4">
        <v>36</v>
      </c>
      <c r="L26" s="4">
        <v>34</v>
      </c>
      <c r="M26" s="4">
        <v>28</v>
      </c>
      <c r="N26" s="4">
        <v>24</v>
      </c>
      <c r="O26" s="4">
        <v>23</v>
      </c>
      <c r="P26" s="4">
        <v>17</v>
      </c>
      <c r="Q26" s="4">
        <v>12</v>
      </c>
      <c r="R26" s="4">
        <v>22</v>
      </c>
      <c r="S26" s="4">
        <v>15</v>
      </c>
      <c r="T26" s="4">
        <v>16</v>
      </c>
      <c r="U26" s="4">
        <v>11</v>
      </c>
      <c r="V26" s="4">
        <v>15</v>
      </c>
      <c r="W26" s="4">
        <v>8</v>
      </c>
      <c r="X26" s="4">
        <v>8</v>
      </c>
      <c r="Y26" s="4">
        <v>12</v>
      </c>
      <c r="Z26" s="4">
        <v>10</v>
      </c>
      <c r="AA26" s="4">
        <v>10</v>
      </c>
      <c r="AB26" s="4">
        <v>10</v>
      </c>
      <c r="AC26" s="4">
        <v>10</v>
      </c>
      <c r="AD26" s="4">
        <v>9</v>
      </c>
      <c r="AE26" s="4">
        <v>9</v>
      </c>
      <c r="AF26" s="4">
        <v>9</v>
      </c>
      <c r="AG26" s="4">
        <v>7</v>
      </c>
      <c r="AH26" s="4">
        <v>5</v>
      </c>
      <c r="AI26" s="4">
        <v>7</v>
      </c>
    </row>
    <row r="27" ht="16.5" hidden="1" spans="1:35">
      <c r="A27" s="2" t="s">
        <v>86</v>
      </c>
      <c r="B27" s="2" t="s">
        <v>73</v>
      </c>
      <c r="C27" s="4">
        <v>374</v>
      </c>
      <c r="D27" s="2" t="s">
        <v>74</v>
      </c>
      <c r="E27" s="6">
        <v>1</v>
      </c>
      <c r="F27" s="5">
        <v>0.3182</v>
      </c>
      <c r="G27" s="5">
        <v>0.2353</v>
      </c>
      <c r="H27" s="5">
        <v>0.2059</v>
      </c>
      <c r="I27" s="5">
        <v>0.1417</v>
      </c>
      <c r="J27" s="5">
        <v>0.107</v>
      </c>
      <c r="K27" s="5">
        <v>0.0963</v>
      </c>
      <c r="L27" s="5">
        <v>0.0909</v>
      </c>
      <c r="M27" s="5">
        <v>0.0749</v>
      </c>
      <c r="N27" s="5">
        <v>0.0642</v>
      </c>
      <c r="O27" s="5">
        <v>0.0615</v>
      </c>
      <c r="P27" s="5">
        <v>0.0455</v>
      </c>
      <c r="Q27" s="5">
        <v>0.0321</v>
      </c>
      <c r="R27" s="5">
        <v>0.0588</v>
      </c>
      <c r="S27" s="5">
        <v>0.0401</v>
      </c>
      <c r="T27" s="5">
        <v>0.0428</v>
      </c>
      <c r="U27" s="5">
        <v>0.0294</v>
      </c>
      <c r="V27" s="5">
        <v>0.0401</v>
      </c>
      <c r="W27" s="5">
        <v>0.0214</v>
      </c>
      <c r="X27" s="5">
        <v>0.0214</v>
      </c>
      <c r="Y27" s="5">
        <v>0.0321</v>
      </c>
      <c r="Z27" s="5">
        <v>0.0267</v>
      </c>
      <c r="AA27" s="5">
        <v>0.0267</v>
      </c>
      <c r="AB27" s="5">
        <v>0.0267</v>
      </c>
      <c r="AC27" s="5">
        <v>0.0267</v>
      </c>
      <c r="AD27" s="5">
        <v>0.0241</v>
      </c>
      <c r="AE27" s="5">
        <v>0.0241</v>
      </c>
      <c r="AF27" s="5">
        <v>0.0241</v>
      </c>
      <c r="AG27" s="5">
        <v>0.0187</v>
      </c>
      <c r="AH27" s="5">
        <v>0.0134</v>
      </c>
      <c r="AI27" s="5">
        <v>0.0187</v>
      </c>
    </row>
    <row r="28" ht="16.5" hidden="1" spans="1:35">
      <c r="A28" s="2" t="s">
        <v>87</v>
      </c>
      <c r="B28" s="2" t="s">
        <v>73</v>
      </c>
      <c r="C28" s="4">
        <v>413</v>
      </c>
      <c r="D28" s="2" t="s">
        <v>19</v>
      </c>
      <c r="E28" s="4">
        <v>413</v>
      </c>
      <c r="F28" s="4">
        <v>168</v>
      </c>
      <c r="G28" s="4">
        <v>114</v>
      </c>
      <c r="H28" s="4">
        <v>88</v>
      </c>
      <c r="I28" s="4">
        <v>61</v>
      </c>
      <c r="J28" s="4">
        <v>59</v>
      </c>
      <c r="K28" s="4">
        <v>42</v>
      </c>
      <c r="L28" s="4">
        <v>38</v>
      </c>
      <c r="M28" s="4">
        <v>40</v>
      </c>
      <c r="N28" s="4">
        <v>33</v>
      </c>
      <c r="O28" s="4">
        <v>32</v>
      </c>
      <c r="P28" s="4">
        <v>19</v>
      </c>
      <c r="Q28" s="4">
        <v>26</v>
      </c>
      <c r="R28" s="4">
        <v>25</v>
      </c>
      <c r="S28" s="4">
        <v>21</v>
      </c>
      <c r="T28" s="4">
        <v>23</v>
      </c>
      <c r="U28" s="4">
        <v>19</v>
      </c>
      <c r="V28" s="4">
        <v>17</v>
      </c>
      <c r="W28" s="4">
        <v>15</v>
      </c>
      <c r="X28" s="4">
        <v>14</v>
      </c>
      <c r="Y28" s="4">
        <v>13</v>
      </c>
      <c r="Z28" s="4">
        <v>13</v>
      </c>
      <c r="AA28" s="4">
        <v>12</v>
      </c>
      <c r="AB28" s="4">
        <v>9</v>
      </c>
      <c r="AC28" s="4">
        <v>7</v>
      </c>
      <c r="AD28" s="4">
        <v>9</v>
      </c>
      <c r="AE28" s="4">
        <v>8</v>
      </c>
      <c r="AF28" s="4">
        <v>6</v>
      </c>
      <c r="AG28" s="4">
        <v>7</v>
      </c>
      <c r="AH28" s="4">
        <v>7</v>
      </c>
      <c r="AI28" s="4">
        <v>8</v>
      </c>
    </row>
    <row r="29" ht="16.5" hidden="1" spans="1:35">
      <c r="A29" s="2" t="s">
        <v>87</v>
      </c>
      <c r="B29" s="2" t="s">
        <v>73</v>
      </c>
      <c r="C29" s="4">
        <v>413</v>
      </c>
      <c r="D29" s="2" t="s">
        <v>74</v>
      </c>
      <c r="E29" s="6">
        <v>1</v>
      </c>
      <c r="F29" s="5">
        <v>0.4068</v>
      </c>
      <c r="G29" s="5">
        <v>0.276</v>
      </c>
      <c r="H29" s="5">
        <v>0.2131</v>
      </c>
      <c r="I29" s="5">
        <v>0.1477</v>
      </c>
      <c r="J29" s="5">
        <v>0.1429</v>
      </c>
      <c r="K29" s="5">
        <v>0.1017</v>
      </c>
      <c r="L29" s="5">
        <v>0.092</v>
      </c>
      <c r="M29" s="5">
        <v>0.0969</v>
      </c>
      <c r="N29" s="5">
        <v>0.0799</v>
      </c>
      <c r="O29" s="5">
        <v>0.0775</v>
      </c>
      <c r="P29" s="5">
        <v>0.046</v>
      </c>
      <c r="Q29" s="5">
        <v>0.063</v>
      </c>
      <c r="R29" s="5">
        <v>0.0605</v>
      </c>
      <c r="S29" s="5">
        <v>0.0508</v>
      </c>
      <c r="T29" s="5">
        <v>0.0557</v>
      </c>
      <c r="U29" s="5">
        <v>0.046</v>
      </c>
      <c r="V29" s="5">
        <v>0.0412</v>
      </c>
      <c r="W29" s="5">
        <v>0.0363</v>
      </c>
      <c r="X29" s="5">
        <v>0.0339</v>
      </c>
      <c r="Y29" s="5">
        <v>0.0315</v>
      </c>
      <c r="Z29" s="5">
        <v>0.0315</v>
      </c>
      <c r="AA29" s="5">
        <v>0.0291</v>
      </c>
      <c r="AB29" s="5">
        <v>0.0218</v>
      </c>
      <c r="AC29" s="5">
        <v>0.0169</v>
      </c>
      <c r="AD29" s="5">
        <v>0.0218</v>
      </c>
      <c r="AE29" s="5">
        <v>0.0194</v>
      </c>
      <c r="AF29" s="5">
        <v>0.0145</v>
      </c>
      <c r="AG29" s="5">
        <v>0.0169</v>
      </c>
      <c r="AH29" s="5">
        <v>0.0169</v>
      </c>
      <c r="AI29" s="5">
        <v>0.0194</v>
      </c>
    </row>
    <row r="30" ht="16.5" hidden="1" spans="1:35">
      <c r="A30" s="2" t="s">
        <v>88</v>
      </c>
      <c r="B30" s="2" t="s">
        <v>73</v>
      </c>
      <c r="C30" s="4">
        <v>410</v>
      </c>
      <c r="D30" s="2" t="s">
        <v>19</v>
      </c>
      <c r="E30" s="4">
        <v>410</v>
      </c>
      <c r="F30" s="4">
        <v>163</v>
      </c>
      <c r="G30" s="4">
        <v>114</v>
      </c>
      <c r="H30" s="4">
        <v>80</v>
      </c>
      <c r="I30" s="4">
        <v>66</v>
      </c>
      <c r="J30" s="4">
        <v>50</v>
      </c>
      <c r="K30" s="4">
        <v>47</v>
      </c>
      <c r="L30" s="4">
        <v>47</v>
      </c>
      <c r="M30" s="4">
        <v>37</v>
      </c>
      <c r="N30" s="4">
        <v>31</v>
      </c>
      <c r="O30" s="4">
        <v>29</v>
      </c>
      <c r="P30" s="4">
        <v>26</v>
      </c>
      <c r="Q30" s="4">
        <v>23</v>
      </c>
      <c r="R30" s="4">
        <v>19</v>
      </c>
      <c r="S30" s="4">
        <v>16</v>
      </c>
      <c r="T30" s="4">
        <v>18</v>
      </c>
      <c r="U30" s="4">
        <v>11</v>
      </c>
      <c r="V30" s="4">
        <v>15</v>
      </c>
      <c r="W30" s="4">
        <v>11</v>
      </c>
      <c r="X30" s="4">
        <v>9</v>
      </c>
      <c r="Y30" s="4">
        <v>15</v>
      </c>
      <c r="Z30" s="4">
        <v>15</v>
      </c>
      <c r="AA30" s="4">
        <v>10</v>
      </c>
      <c r="AB30" s="4">
        <v>7</v>
      </c>
      <c r="AC30" s="4">
        <v>7</v>
      </c>
      <c r="AD30" s="4">
        <v>10</v>
      </c>
      <c r="AE30" s="4">
        <v>8</v>
      </c>
      <c r="AF30" s="4">
        <v>5</v>
      </c>
      <c r="AG30" s="4">
        <v>9</v>
      </c>
      <c r="AH30" s="4">
        <v>4</v>
      </c>
      <c r="AI30" s="4">
        <v>5</v>
      </c>
    </row>
    <row r="31" ht="16.5" hidden="1" spans="1:35">
      <c r="A31" s="2" t="s">
        <v>88</v>
      </c>
      <c r="B31" s="2" t="s">
        <v>73</v>
      </c>
      <c r="C31" s="4">
        <v>410</v>
      </c>
      <c r="D31" s="2" t="s">
        <v>74</v>
      </c>
      <c r="E31" s="6">
        <v>1</v>
      </c>
      <c r="F31" s="5">
        <v>0.3976</v>
      </c>
      <c r="G31" s="5">
        <v>0.278</v>
      </c>
      <c r="H31" s="5">
        <v>0.1951</v>
      </c>
      <c r="I31" s="5">
        <v>0.161</v>
      </c>
      <c r="J31" s="5">
        <v>0.122</v>
      </c>
      <c r="K31" s="5">
        <v>0.1146</v>
      </c>
      <c r="L31" s="5">
        <v>0.1146</v>
      </c>
      <c r="M31" s="5">
        <v>0.0902</v>
      </c>
      <c r="N31" s="5">
        <v>0.0756</v>
      </c>
      <c r="O31" s="5">
        <v>0.0707</v>
      </c>
      <c r="P31" s="5">
        <v>0.0634</v>
      </c>
      <c r="Q31" s="5">
        <v>0.0561</v>
      </c>
      <c r="R31" s="5">
        <v>0.0463</v>
      </c>
      <c r="S31" s="5">
        <v>0.039</v>
      </c>
      <c r="T31" s="5">
        <v>0.0439</v>
      </c>
      <c r="U31" s="5">
        <v>0.0268</v>
      </c>
      <c r="V31" s="5">
        <v>0.0366</v>
      </c>
      <c r="W31" s="5">
        <v>0.0268</v>
      </c>
      <c r="X31" s="5">
        <v>0.022</v>
      </c>
      <c r="Y31" s="5">
        <v>0.0366</v>
      </c>
      <c r="Z31" s="5">
        <v>0.0366</v>
      </c>
      <c r="AA31" s="5">
        <v>0.0244</v>
      </c>
      <c r="AB31" s="5">
        <v>0.0171</v>
      </c>
      <c r="AC31" s="5">
        <v>0.0171</v>
      </c>
      <c r="AD31" s="5">
        <v>0.0244</v>
      </c>
      <c r="AE31" s="5">
        <v>0.0195</v>
      </c>
      <c r="AF31" s="5">
        <v>0.0122</v>
      </c>
      <c r="AG31" s="5">
        <v>0.022</v>
      </c>
      <c r="AH31" s="5">
        <v>0.0098</v>
      </c>
      <c r="AI31" s="5">
        <v>0.0122</v>
      </c>
    </row>
    <row r="32" ht="16.5" hidden="1" spans="1:35">
      <c r="A32" s="2" t="s">
        <v>89</v>
      </c>
      <c r="B32" s="2" t="s">
        <v>73</v>
      </c>
      <c r="C32" s="4">
        <v>549</v>
      </c>
      <c r="D32" s="2" t="s">
        <v>19</v>
      </c>
      <c r="E32" s="4">
        <v>549</v>
      </c>
      <c r="F32" s="4">
        <v>205</v>
      </c>
      <c r="G32" s="4">
        <v>149</v>
      </c>
      <c r="H32" s="4">
        <v>113</v>
      </c>
      <c r="I32" s="4">
        <v>90</v>
      </c>
      <c r="J32" s="4">
        <v>69</v>
      </c>
      <c r="K32" s="4">
        <v>62</v>
      </c>
      <c r="L32" s="4">
        <v>70</v>
      </c>
      <c r="M32" s="4">
        <v>49</v>
      </c>
      <c r="N32" s="4">
        <v>44</v>
      </c>
      <c r="O32" s="4">
        <v>24</v>
      </c>
      <c r="P32" s="4">
        <v>31</v>
      </c>
      <c r="Q32" s="4">
        <v>35</v>
      </c>
      <c r="R32" s="4">
        <v>35</v>
      </c>
      <c r="S32" s="4">
        <v>32</v>
      </c>
      <c r="T32" s="4">
        <v>19</v>
      </c>
      <c r="U32" s="4">
        <v>19</v>
      </c>
      <c r="V32" s="4">
        <v>16</v>
      </c>
      <c r="W32" s="4">
        <v>16</v>
      </c>
      <c r="X32" s="4">
        <v>16</v>
      </c>
      <c r="Y32" s="4">
        <v>11</v>
      </c>
      <c r="Z32" s="4">
        <v>13</v>
      </c>
      <c r="AA32" s="4">
        <v>9</v>
      </c>
      <c r="AB32" s="4">
        <v>9</v>
      </c>
      <c r="AC32" s="4">
        <v>8</v>
      </c>
      <c r="AD32" s="4">
        <v>13</v>
      </c>
      <c r="AE32" s="4">
        <v>8</v>
      </c>
      <c r="AF32" s="4">
        <v>11</v>
      </c>
      <c r="AG32" s="4">
        <v>3</v>
      </c>
      <c r="AH32" s="4">
        <v>10</v>
      </c>
      <c r="AI32" s="4">
        <v>5</v>
      </c>
    </row>
    <row r="33" ht="16.5" hidden="1" spans="1:35">
      <c r="A33" s="2" t="s">
        <v>89</v>
      </c>
      <c r="B33" s="2" t="s">
        <v>73</v>
      </c>
      <c r="C33" s="4">
        <v>549</v>
      </c>
      <c r="D33" s="2" t="s">
        <v>74</v>
      </c>
      <c r="E33" s="6">
        <v>1</v>
      </c>
      <c r="F33" s="5">
        <v>0.3734</v>
      </c>
      <c r="G33" s="5">
        <v>0.2714</v>
      </c>
      <c r="H33" s="5">
        <v>0.2058</v>
      </c>
      <c r="I33" s="5">
        <v>0.1639</v>
      </c>
      <c r="J33" s="5">
        <v>0.1257</v>
      </c>
      <c r="K33" s="5">
        <v>0.1129</v>
      </c>
      <c r="L33" s="5">
        <v>0.1275</v>
      </c>
      <c r="M33" s="5">
        <v>0.0893</v>
      </c>
      <c r="N33" s="5">
        <v>0.0801</v>
      </c>
      <c r="O33" s="5">
        <v>0.0437</v>
      </c>
      <c r="P33" s="5">
        <v>0.0565</v>
      </c>
      <c r="Q33" s="5">
        <v>0.0638</v>
      </c>
      <c r="R33" s="5">
        <v>0.0638</v>
      </c>
      <c r="S33" s="5">
        <v>0.0583</v>
      </c>
      <c r="T33" s="5">
        <v>0.0346</v>
      </c>
      <c r="U33" s="5">
        <v>0.0346</v>
      </c>
      <c r="V33" s="5">
        <v>0.0291</v>
      </c>
      <c r="W33" s="5">
        <v>0.0291</v>
      </c>
      <c r="X33" s="5">
        <v>0.0291</v>
      </c>
      <c r="Y33" s="6">
        <v>0.02</v>
      </c>
      <c r="Z33" s="5">
        <v>0.0237</v>
      </c>
      <c r="AA33" s="5">
        <v>0.0164</v>
      </c>
      <c r="AB33" s="5">
        <v>0.0164</v>
      </c>
      <c r="AC33" s="5">
        <v>0.0146</v>
      </c>
      <c r="AD33" s="5">
        <v>0.0237</v>
      </c>
      <c r="AE33" s="5">
        <v>0.0146</v>
      </c>
      <c r="AF33" s="6">
        <v>0.02</v>
      </c>
      <c r="AG33" s="5">
        <v>0.0055</v>
      </c>
      <c r="AH33" s="5">
        <v>0.0182</v>
      </c>
      <c r="AI33" s="5">
        <v>0.0091</v>
      </c>
    </row>
    <row r="34" ht="16.5" hidden="1" spans="1:35">
      <c r="A34" s="2" t="s">
        <v>90</v>
      </c>
      <c r="B34" s="2" t="s">
        <v>73</v>
      </c>
      <c r="C34" s="4">
        <v>423</v>
      </c>
      <c r="D34" s="2" t="s">
        <v>19</v>
      </c>
      <c r="E34" s="4">
        <v>423</v>
      </c>
      <c r="F34" s="4">
        <v>168</v>
      </c>
      <c r="G34" s="4">
        <v>109</v>
      </c>
      <c r="H34" s="4">
        <v>77</v>
      </c>
      <c r="I34" s="4">
        <v>53</v>
      </c>
      <c r="J34" s="4">
        <v>55</v>
      </c>
      <c r="K34" s="4">
        <v>47</v>
      </c>
      <c r="L34" s="4">
        <v>35</v>
      </c>
      <c r="M34" s="4">
        <v>37</v>
      </c>
      <c r="N34" s="4">
        <v>23</v>
      </c>
      <c r="O34" s="4">
        <v>15</v>
      </c>
      <c r="P34" s="4">
        <v>16</v>
      </c>
      <c r="Q34" s="4">
        <v>28</v>
      </c>
      <c r="R34" s="4">
        <v>16</v>
      </c>
      <c r="S34" s="4">
        <v>15</v>
      </c>
      <c r="T34" s="4">
        <v>9</v>
      </c>
      <c r="U34" s="4">
        <v>9</v>
      </c>
      <c r="V34" s="4">
        <v>10</v>
      </c>
      <c r="W34" s="4">
        <v>11</v>
      </c>
      <c r="X34" s="4">
        <v>7</v>
      </c>
      <c r="Y34" s="4">
        <v>6</v>
      </c>
      <c r="Z34" s="4">
        <v>8</v>
      </c>
      <c r="AA34" s="4">
        <v>7</v>
      </c>
      <c r="AB34" s="4">
        <v>7</v>
      </c>
      <c r="AC34" s="4">
        <v>6</v>
      </c>
      <c r="AD34" s="4">
        <v>6</v>
      </c>
      <c r="AE34" s="4">
        <v>3</v>
      </c>
      <c r="AF34" s="4">
        <v>6</v>
      </c>
      <c r="AG34" s="4">
        <v>3</v>
      </c>
      <c r="AH34" s="4">
        <v>5</v>
      </c>
      <c r="AI34" s="2" t="s">
        <v>91</v>
      </c>
    </row>
    <row r="35" ht="16.5" hidden="1" spans="1:35">
      <c r="A35" s="2" t="s">
        <v>90</v>
      </c>
      <c r="B35" s="2" t="s">
        <v>73</v>
      </c>
      <c r="C35" s="4">
        <v>423</v>
      </c>
      <c r="D35" s="2" t="s">
        <v>74</v>
      </c>
      <c r="E35" s="6">
        <v>1</v>
      </c>
      <c r="F35" s="5">
        <v>0.3972</v>
      </c>
      <c r="G35" s="5">
        <v>0.2577</v>
      </c>
      <c r="H35" s="5">
        <v>0.182</v>
      </c>
      <c r="I35" s="5">
        <v>0.1253</v>
      </c>
      <c r="J35" s="6">
        <v>0.13</v>
      </c>
      <c r="K35" s="5">
        <v>0.1111</v>
      </c>
      <c r="L35" s="5">
        <v>0.0827</v>
      </c>
      <c r="M35" s="5">
        <v>0.0875</v>
      </c>
      <c r="N35" s="5">
        <v>0.0544</v>
      </c>
      <c r="O35" s="5">
        <v>0.0355</v>
      </c>
      <c r="P35" s="5">
        <v>0.0378</v>
      </c>
      <c r="Q35" s="5">
        <v>0.0662</v>
      </c>
      <c r="R35" s="5">
        <v>0.0378</v>
      </c>
      <c r="S35" s="5">
        <v>0.0355</v>
      </c>
      <c r="T35" s="5">
        <v>0.0213</v>
      </c>
      <c r="U35" s="5">
        <v>0.0213</v>
      </c>
      <c r="V35" s="5">
        <v>0.0236</v>
      </c>
      <c r="W35" s="5">
        <v>0.026</v>
      </c>
      <c r="X35" s="5">
        <v>0.0165</v>
      </c>
      <c r="Y35" s="5">
        <v>0.0142</v>
      </c>
      <c r="Z35" s="5">
        <v>0.0189</v>
      </c>
      <c r="AA35" s="5">
        <v>0.0165</v>
      </c>
      <c r="AB35" s="5">
        <v>0.0165</v>
      </c>
      <c r="AC35" s="5">
        <v>0.0142</v>
      </c>
      <c r="AD35" s="5">
        <v>0.0142</v>
      </c>
      <c r="AE35" s="5">
        <v>0.0071</v>
      </c>
      <c r="AF35" s="5">
        <v>0.0142</v>
      </c>
      <c r="AG35" s="5">
        <v>0.0071</v>
      </c>
      <c r="AH35" s="5">
        <v>0.0118</v>
      </c>
      <c r="AI35" s="2" t="s">
        <v>91</v>
      </c>
    </row>
    <row r="36" ht="16.5" hidden="1" spans="1:35">
      <c r="A36" s="2" t="s">
        <v>92</v>
      </c>
      <c r="B36" s="2" t="s">
        <v>73</v>
      </c>
      <c r="C36" s="4">
        <v>379</v>
      </c>
      <c r="D36" s="2" t="s">
        <v>19</v>
      </c>
      <c r="E36" s="4">
        <v>379</v>
      </c>
      <c r="F36" s="4">
        <v>146</v>
      </c>
      <c r="G36" s="4">
        <v>99</v>
      </c>
      <c r="H36" s="4">
        <v>75</v>
      </c>
      <c r="I36" s="4">
        <v>63</v>
      </c>
      <c r="J36" s="4">
        <v>50</v>
      </c>
      <c r="K36" s="4">
        <v>44</v>
      </c>
      <c r="L36" s="4">
        <v>35</v>
      </c>
      <c r="M36" s="4">
        <v>31</v>
      </c>
      <c r="N36" s="4">
        <v>24</v>
      </c>
      <c r="O36" s="4">
        <v>28</v>
      </c>
      <c r="P36" s="4">
        <v>20</v>
      </c>
      <c r="Q36" s="4">
        <v>16</v>
      </c>
      <c r="R36" s="4">
        <v>17</v>
      </c>
      <c r="S36" s="4">
        <v>13</v>
      </c>
      <c r="T36" s="4">
        <v>14</v>
      </c>
      <c r="U36" s="4">
        <v>12</v>
      </c>
      <c r="V36" s="4">
        <v>13</v>
      </c>
      <c r="W36" s="4">
        <v>9</v>
      </c>
      <c r="X36" s="4">
        <v>15</v>
      </c>
      <c r="Y36" s="4">
        <v>9</v>
      </c>
      <c r="Z36" s="4">
        <v>13</v>
      </c>
      <c r="AA36" s="4">
        <v>11</v>
      </c>
      <c r="AB36" s="4">
        <v>12</v>
      </c>
      <c r="AC36" s="4">
        <v>8</v>
      </c>
      <c r="AD36" s="4">
        <v>8</v>
      </c>
      <c r="AE36" s="4">
        <v>5</v>
      </c>
      <c r="AF36" s="4">
        <v>5</v>
      </c>
      <c r="AG36" s="4">
        <v>6</v>
      </c>
      <c r="AH36" s="2" t="s">
        <v>91</v>
      </c>
      <c r="AI36" s="2" t="s">
        <v>91</v>
      </c>
    </row>
    <row r="37" ht="16.5" hidden="1" spans="1:35">
      <c r="A37" s="2" t="s">
        <v>92</v>
      </c>
      <c r="B37" s="2" t="s">
        <v>73</v>
      </c>
      <c r="C37" s="4">
        <v>379</v>
      </c>
      <c r="D37" s="2" t="s">
        <v>74</v>
      </c>
      <c r="E37" s="6">
        <v>1</v>
      </c>
      <c r="F37" s="5">
        <v>0.3852</v>
      </c>
      <c r="G37" s="5">
        <v>0.2612</v>
      </c>
      <c r="H37" s="5">
        <v>0.1979</v>
      </c>
      <c r="I37" s="5">
        <v>0.1662</v>
      </c>
      <c r="J37" s="5">
        <v>0.1319</v>
      </c>
      <c r="K37" s="5">
        <v>0.1161</v>
      </c>
      <c r="L37" s="5">
        <v>0.0923</v>
      </c>
      <c r="M37" s="5">
        <v>0.0818</v>
      </c>
      <c r="N37" s="5">
        <v>0.0633</v>
      </c>
      <c r="O37" s="5">
        <v>0.0739</v>
      </c>
      <c r="P37" s="5">
        <v>0.0528</v>
      </c>
      <c r="Q37" s="5">
        <v>0.0422</v>
      </c>
      <c r="R37" s="5">
        <v>0.0449</v>
      </c>
      <c r="S37" s="5">
        <v>0.0343</v>
      </c>
      <c r="T37" s="5">
        <v>0.0369</v>
      </c>
      <c r="U37" s="5">
        <v>0.0317</v>
      </c>
      <c r="V37" s="5">
        <v>0.0343</v>
      </c>
      <c r="W37" s="5">
        <v>0.0237</v>
      </c>
      <c r="X37" s="5">
        <v>0.0396</v>
      </c>
      <c r="Y37" s="5">
        <v>0.0237</v>
      </c>
      <c r="Z37" s="5">
        <v>0.0343</v>
      </c>
      <c r="AA37" s="5">
        <v>0.029</v>
      </c>
      <c r="AB37" s="5">
        <v>0.0317</v>
      </c>
      <c r="AC37" s="5">
        <v>0.0211</v>
      </c>
      <c r="AD37" s="5">
        <v>0.0211</v>
      </c>
      <c r="AE37" s="5">
        <v>0.0132</v>
      </c>
      <c r="AF37" s="5">
        <v>0.0132</v>
      </c>
      <c r="AG37" s="5">
        <v>0.0158</v>
      </c>
      <c r="AH37" s="2" t="s">
        <v>91</v>
      </c>
      <c r="AI37" s="2" t="s">
        <v>91</v>
      </c>
    </row>
    <row r="38" ht="16.5" hidden="1" spans="1:35">
      <c r="A38" s="2" t="s">
        <v>93</v>
      </c>
      <c r="B38" s="2" t="s">
        <v>73</v>
      </c>
      <c r="C38" s="4">
        <v>304</v>
      </c>
      <c r="D38" s="2" t="s">
        <v>19</v>
      </c>
      <c r="E38" s="4">
        <v>304</v>
      </c>
      <c r="F38" s="4">
        <v>127</v>
      </c>
      <c r="G38" s="4">
        <v>81</v>
      </c>
      <c r="H38" s="4">
        <v>52</v>
      </c>
      <c r="I38" s="4">
        <v>50</v>
      </c>
      <c r="J38" s="4">
        <v>36</v>
      </c>
      <c r="K38" s="4">
        <v>35</v>
      </c>
      <c r="L38" s="4">
        <v>27</v>
      </c>
      <c r="M38" s="4">
        <v>22</v>
      </c>
      <c r="N38" s="4">
        <v>14</v>
      </c>
      <c r="O38" s="4">
        <v>14</v>
      </c>
      <c r="P38" s="4">
        <v>19</v>
      </c>
      <c r="Q38" s="4">
        <v>10</v>
      </c>
      <c r="R38" s="4">
        <v>8</v>
      </c>
      <c r="S38" s="4">
        <v>11</v>
      </c>
      <c r="T38" s="4">
        <v>6</v>
      </c>
      <c r="U38" s="4">
        <v>7</v>
      </c>
      <c r="V38" s="4">
        <v>8</v>
      </c>
      <c r="W38" s="4">
        <v>10</v>
      </c>
      <c r="X38" s="4">
        <v>6</v>
      </c>
      <c r="Y38" s="4">
        <v>4</v>
      </c>
      <c r="Z38" s="4">
        <v>7</v>
      </c>
      <c r="AA38" s="4">
        <v>6</v>
      </c>
      <c r="AB38" s="4">
        <v>5</v>
      </c>
      <c r="AC38" s="4">
        <v>7</v>
      </c>
      <c r="AD38" s="4">
        <v>8</v>
      </c>
      <c r="AE38" s="4">
        <v>4</v>
      </c>
      <c r="AF38" s="4">
        <v>5</v>
      </c>
      <c r="AG38" s="2" t="s">
        <v>91</v>
      </c>
      <c r="AH38" s="2" t="s">
        <v>91</v>
      </c>
      <c r="AI38" s="2" t="s">
        <v>91</v>
      </c>
    </row>
    <row r="39" ht="16.5" hidden="1" spans="1:35">
      <c r="A39" s="2" t="s">
        <v>93</v>
      </c>
      <c r="B39" s="2" t="s">
        <v>73</v>
      </c>
      <c r="C39" s="4">
        <v>304</v>
      </c>
      <c r="D39" s="2" t="s">
        <v>74</v>
      </c>
      <c r="E39" s="6">
        <v>1</v>
      </c>
      <c r="F39" s="5">
        <v>0.4178</v>
      </c>
      <c r="G39" s="5">
        <v>0.2664</v>
      </c>
      <c r="H39" s="5">
        <v>0.1711</v>
      </c>
      <c r="I39" s="5">
        <v>0.1645</v>
      </c>
      <c r="J39" s="5">
        <v>0.1184</v>
      </c>
      <c r="K39" s="5">
        <v>0.1151</v>
      </c>
      <c r="L39" s="5">
        <v>0.0888</v>
      </c>
      <c r="M39" s="5">
        <v>0.0724</v>
      </c>
      <c r="N39" s="5">
        <v>0.0461</v>
      </c>
      <c r="O39" s="5">
        <v>0.0461</v>
      </c>
      <c r="P39" s="5">
        <v>0.0625</v>
      </c>
      <c r="Q39" s="5">
        <v>0.0329</v>
      </c>
      <c r="R39" s="5">
        <v>0.0263</v>
      </c>
      <c r="S39" s="5">
        <v>0.0362</v>
      </c>
      <c r="T39" s="5">
        <v>0.0197</v>
      </c>
      <c r="U39" s="5">
        <v>0.023</v>
      </c>
      <c r="V39" s="5">
        <v>0.0263</v>
      </c>
      <c r="W39" s="5">
        <v>0.0329</v>
      </c>
      <c r="X39" s="5">
        <v>0.0197</v>
      </c>
      <c r="Y39" s="5">
        <v>0.0132</v>
      </c>
      <c r="Z39" s="5">
        <v>0.023</v>
      </c>
      <c r="AA39" s="5">
        <v>0.0197</v>
      </c>
      <c r="AB39" s="5">
        <v>0.0164</v>
      </c>
      <c r="AC39" s="5">
        <v>0.023</v>
      </c>
      <c r="AD39" s="5">
        <v>0.0263</v>
      </c>
      <c r="AE39" s="5">
        <v>0.0132</v>
      </c>
      <c r="AF39" s="5">
        <v>0.0164</v>
      </c>
      <c r="AG39" s="2" t="s">
        <v>91</v>
      </c>
      <c r="AH39" s="2" t="s">
        <v>91</v>
      </c>
      <c r="AI39" s="2" t="s">
        <v>91</v>
      </c>
    </row>
    <row r="40" ht="16.5" hidden="1" spans="1:35">
      <c r="A40" s="2" t="s">
        <v>94</v>
      </c>
      <c r="B40" s="2" t="s">
        <v>73</v>
      </c>
      <c r="C40" s="4">
        <v>246</v>
      </c>
      <c r="D40" s="2" t="s">
        <v>19</v>
      </c>
      <c r="E40" s="4">
        <v>246</v>
      </c>
      <c r="F40" s="4">
        <v>95</v>
      </c>
      <c r="G40" s="4">
        <v>57</v>
      </c>
      <c r="H40" s="4">
        <v>56</v>
      </c>
      <c r="I40" s="4">
        <v>51</v>
      </c>
      <c r="J40" s="4">
        <v>36</v>
      </c>
      <c r="K40" s="4">
        <v>21</v>
      </c>
      <c r="L40" s="4">
        <v>25</v>
      </c>
      <c r="M40" s="4">
        <v>24</v>
      </c>
      <c r="N40" s="4">
        <v>16</v>
      </c>
      <c r="O40" s="4">
        <v>14</v>
      </c>
      <c r="P40" s="4">
        <v>20</v>
      </c>
      <c r="Q40" s="4">
        <v>13</v>
      </c>
      <c r="R40" s="4">
        <v>11</v>
      </c>
      <c r="S40" s="4">
        <v>15</v>
      </c>
      <c r="T40" s="4">
        <v>9</v>
      </c>
      <c r="U40" s="4">
        <v>5</v>
      </c>
      <c r="V40" s="4">
        <v>8</v>
      </c>
      <c r="W40" s="4">
        <v>10</v>
      </c>
      <c r="X40" s="4">
        <v>7</v>
      </c>
      <c r="Y40" s="4">
        <v>10</v>
      </c>
      <c r="Z40" s="4">
        <v>7</v>
      </c>
      <c r="AA40" s="4">
        <v>3</v>
      </c>
      <c r="AB40" s="4">
        <v>5</v>
      </c>
      <c r="AC40" s="4">
        <v>6</v>
      </c>
      <c r="AD40" s="4">
        <v>7</v>
      </c>
      <c r="AE40" s="4">
        <v>5</v>
      </c>
      <c r="AF40" s="2" t="s">
        <v>91</v>
      </c>
      <c r="AG40" s="2" t="s">
        <v>91</v>
      </c>
      <c r="AH40" s="2" t="s">
        <v>91</v>
      </c>
      <c r="AI40" s="2" t="s">
        <v>91</v>
      </c>
    </row>
    <row r="41" ht="16.5" hidden="1" spans="1:35">
      <c r="A41" s="2" t="s">
        <v>94</v>
      </c>
      <c r="B41" s="2" t="s">
        <v>73</v>
      </c>
      <c r="C41" s="4">
        <v>246</v>
      </c>
      <c r="D41" s="2" t="s">
        <v>74</v>
      </c>
      <c r="E41" s="6">
        <v>1</v>
      </c>
      <c r="F41" s="5">
        <v>0.3862</v>
      </c>
      <c r="G41" s="5">
        <v>0.2317</v>
      </c>
      <c r="H41" s="5">
        <v>0.2276</v>
      </c>
      <c r="I41" s="5">
        <v>0.2073</v>
      </c>
      <c r="J41" s="5">
        <v>0.1463</v>
      </c>
      <c r="K41" s="5">
        <v>0.0854</v>
      </c>
      <c r="L41" s="5">
        <v>0.1016</v>
      </c>
      <c r="M41" s="5">
        <v>0.0976</v>
      </c>
      <c r="N41" s="5">
        <v>0.065</v>
      </c>
      <c r="O41" s="5">
        <v>0.0569</v>
      </c>
      <c r="P41" s="5">
        <v>0.0813</v>
      </c>
      <c r="Q41" s="5">
        <v>0.0528</v>
      </c>
      <c r="R41" s="5">
        <v>0.0447</v>
      </c>
      <c r="S41" s="5">
        <v>0.061</v>
      </c>
      <c r="T41" s="5">
        <v>0.0366</v>
      </c>
      <c r="U41" s="5">
        <v>0.0203</v>
      </c>
      <c r="V41" s="5">
        <v>0.0325</v>
      </c>
      <c r="W41" s="5">
        <v>0.0407</v>
      </c>
      <c r="X41" s="5">
        <v>0.0285</v>
      </c>
      <c r="Y41" s="5">
        <v>0.0407</v>
      </c>
      <c r="Z41" s="5">
        <v>0.0285</v>
      </c>
      <c r="AA41" s="5">
        <v>0.0122</v>
      </c>
      <c r="AB41" s="5">
        <v>0.0203</v>
      </c>
      <c r="AC41" s="5">
        <v>0.0244</v>
      </c>
      <c r="AD41" s="5">
        <v>0.0285</v>
      </c>
      <c r="AE41" s="5">
        <v>0.0203</v>
      </c>
      <c r="AF41" s="2" t="s">
        <v>91</v>
      </c>
      <c r="AG41" s="2" t="s">
        <v>91</v>
      </c>
      <c r="AH41" s="2" t="s">
        <v>91</v>
      </c>
      <c r="AI41" s="2" t="s">
        <v>91</v>
      </c>
    </row>
    <row r="42" ht="16.5" hidden="1" spans="1:35">
      <c r="A42" s="2" t="s">
        <v>95</v>
      </c>
      <c r="B42" s="2" t="s">
        <v>73</v>
      </c>
      <c r="C42" s="4">
        <v>330</v>
      </c>
      <c r="D42" s="2" t="s">
        <v>19</v>
      </c>
      <c r="E42" s="4">
        <v>330</v>
      </c>
      <c r="F42" s="4">
        <v>134</v>
      </c>
      <c r="G42" s="4">
        <v>97</v>
      </c>
      <c r="H42" s="4">
        <v>76</v>
      </c>
      <c r="I42" s="4">
        <v>55</v>
      </c>
      <c r="J42" s="4">
        <v>42</v>
      </c>
      <c r="K42" s="4">
        <v>38</v>
      </c>
      <c r="L42" s="4">
        <v>37</v>
      </c>
      <c r="M42" s="4">
        <v>23</v>
      </c>
      <c r="N42" s="4">
        <v>32</v>
      </c>
      <c r="O42" s="4">
        <v>26</v>
      </c>
      <c r="P42" s="4">
        <v>26</v>
      </c>
      <c r="Q42" s="4">
        <v>22</v>
      </c>
      <c r="R42" s="4">
        <v>18</v>
      </c>
      <c r="S42" s="4">
        <v>19</v>
      </c>
      <c r="T42" s="4">
        <v>21</v>
      </c>
      <c r="U42" s="4">
        <v>17</v>
      </c>
      <c r="V42" s="4">
        <v>12</v>
      </c>
      <c r="W42" s="4">
        <v>11</v>
      </c>
      <c r="X42" s="4">
        <v>11</v>
      </c>
      <c r="Y42" s="4">
        <v>14</v>
      </c>
      <c r="Z42" s="4">
        <v>9</v>
      </c>
      <c r="AA42" s="4">
        <v>11</v>
      </c>
      <c r="AB42" s="4">
        <v>15</v>
      </c>
      <c r="AC42" s="4">
        <v>11</v>
      </c>
      <c r="AD42" s="4">
        <v>10</v>
      </c>
      <c r="AE42" s="2" t="s">
        <v>91</v>
      </c>
      <c r="AF42" s="2" t="s">
        <v>91</v>
      </c>
      <c r="AG42" s="2" t="s">
        <v>91</v>
      </c>
      <c r="AH42" s="2" t="s">
        <v>91</v>
      </c>
      <c r="AI42" s="2" t="s">
        <v>91</v>
      </c>
    </row>
    <row r="43" ht="16.5" hidden="1" spans="1:35">
      <c r="A43" s="2" t="s">
        <v>95</v>
      </c>
      <c r="B43" s="2" t="s">
        <v>73</v>
      </c>
      <c r="C43" s="4">
        <v>330</v>
      </c>
      <c r="D43" s="2" t="s">
        <v>74</v>
      </c>
      <c r="E43" s="6">
        <v>1</v>
      </c>
      <c r="F43" s="5">
        <v>0.4061</v>
      </c>
      <c r="G43" s="5">
        <v>0.2939</v>
      </c>
      <c r="H43" s="5">
        <v>0.2303</v>
      </c>
      <c r="I43" s="5">
        <v>0.1667</v>
      </c>
      <c r="J43" s="5">
        <v>0.1273</v>
      </c>
      <c r="K43" s="5">
        <v>0.1152</v>
      </c>
      <c r="L43" s="5">
        <v>0.1121</v>
      </c>
      <c r="M43" s="5">
        <v>0.0697</v>
      </c>
      <c r="N43" s="5">
        <v>0.097</v>
      </c>
      <c r="O43" s="5">
        <v>0.0788</v>
      </c>
      <c r="P43" s="5">
        <v>0.0788</v>
      </c>
      <c r="Q43" s="5">
        <v>0.0667</v>
      </c>
      <c r="R43" s="5">
        <v>0.0545</v>
      </c>
      <c r="S43" s="5">
        <v>0.0576</v>
      </c>
      <c r="T43" s="5">
        <v>0.0636</v>
      </c>
      <c r="U43" s="5">
        <v>0.0515</v>
      </c>
      <c r="V43" s="5">
        <v>0.0364</v>
      </c>
      <c r="W43" s="5">
        <v>0.0333</v>
      </c>
      <c r="X43" s="5">
        <v>0.0333</v>
      </c>
      <c r="Y43" s="5">
        <v>0.0424</v>
      </c>
      <c r="Z43" s="5">
        <v>0.0273</v>
      </c>
      <c r="AA43" s="5">
        <v>0.0333</v>
      </c>
      <c r="AB43" s="5">
        <v>0.0455</v>
      </c>
      <c r="AC43" s="5">
        <v>0.0333</v>
      </c>
      <c r="AD43" s="5">
        <v>0.0303</v>
      </c>
      <c r="AE43" s="2" t="s">
        <v>91</v>
      </c>
      <c r="AF43" s="2" t="s">
        <v>91</v>
      </c>
      <c r="AG43" s="2" t="s">
        <v>91</v>
      </c>
      <c r="AH43" s="2" t="s">
        <v>91</v>
      </c>
      <c r="AI43" s="2" t="s">
        <v>91</v>
      </c>
    </row>
    <row r="44" ht="16.5" hidden="1" spans="1:35">
      <c r="A44" s="2" t="s">
        <v>96</v>
      </c>
      <c r="B44" s="2" t="s">
        <v>73</v>
      </c>
      <c r="C44" s="4">
        <v>443</v>
      </c>
      <c r="D44" s="2" t="s">
        <v>19</v>
      </c>
      <c r="E44" s="4">
        <v>442</v>
      </c>
      <c r="F44" s="4">
        <v>184</v>
      </c>
      <c r="G44" s="4">
        <v>122</v>
      </c>
      <c r="H44" s="4">
        <v>98</v>
      </c>
      <c r="I44" s="4">
        <v>78</v>
      </c>
      <c r="J44" s="4">
        <v>67</v>
      </c>
      <c r="K44" s="4">
        <v>62</v>
      </c>
      <c r="L44" s="4">
        <v>56</v>
      </c>
      <c r="M44" s="4">
        <v>47</v>
      </c>
      <c r="N44" s="4">
        <v>36</v>
      </c>
      <c r="O44" s="4">
        <v>31</v>
      </c>
      <c r="P44" s="4">
        <v>22</v>
      </c>
      <c r="Q44" s="4">
        <v>22</v>
      </c>
      <c r="R44" s="4">
        <v>29</v>
      </c>
      <c r="S44" s="4">
        <v>30</v>
      </c>
      <c r="T44" s="4">
        <v>32</v>
      </c>
      <c r="U44" s="4">
        <v>24</v>
      </c>
      <c r="V44" s="4">
        <v>24</v>
      </c>
      <c r="W44" s="4">
        <v>22</v>
      </c>
      <c r="X44" s="4">
        <v>13</v>
      </c>
      <c r="Y44" s="4">
        <v>13</v>
      </c>
      <c r="Z44" s="4">
        <v>14</v>
      </c>
      <c r="AA44" s="4">
        <v>13</v>
      </c>
      <c r="AB44" s="4">
        <v>12</v>
      </c>
      <c r="AC44" s="4">
        <v>13</v>
      </c>
      <c r="AD44" s="2" t="s">
        <v>91</v>
      </c>
      <c r="AE44" s="2" t="s">
        <v>91</v>
      </c>
      <c r="AF44" s="2" t="s">
        <v>91</v>
      </c>
      <c r="AG44" s="2" t="s">
        <v>91</v>
      </c>
      <c r="AH44" s="2" t="s">
        <v>91</v>
      </c>
      <c r="AI44" s="2" t="s">
        <v>91</v>
      </c>
    </row>
    <row r="45" ht="16.5" hidden="1" spans="1:35">
      <c r="A45" s="2" t="s">
        <v>96</v>
      </c>
      <c r="B45" s="2" t="s">
        <v>73</v>
      </c>
      <c r="C45" s="4">
        <v>443</v>
      </c>
      <c r="D45" s="2" t="s">
        <v>74</v>
      </c>
      <c r="E45" s="5">
        <v>0.9977</v>
      </c>
      <c r="F45" s="5">
        <v>0.4153</v>
      </c>
      <c r="G45" s="5">
        <v>0.2754</v>
      </c>
      <c r="H45" s="5">
        <v>0.2212</v>
      </c>
      <c r="I45" s="5">
        <v>0.1761</v>
      </c>
      <c r="J45" s="5">
        <v>0.1512</v>
      </c>
      <c r="K45" s="6">
        <v>0.14</v>
      </c>
      <c r="L45" s="5">
        <v>0.1264</v>
      </c>
      <c r="M45" s="5">
        <v>0.1061</v>
      </c>
      <c r="N45" s="5">
        <v>0.0813</v>
      </c>
      <c r="O45" s="6">
        <v>0.07</v>
      </c>
      <c r="P45" s="5">
        <v>0.0497</v>
      </c>
      <c r="Q45" s="5">
        <v>0.0497</v>
      </c>
      <c r="R45" s="5">
        <v>0.0655</v>
      </c>
      <c r="S45" s="5">
        <v>0.0677</v>
      </c>
      <c r="T45" s="5">
        <v>0.0722</v>
      </c>
      <c r="U45" s="5">
        <v>0.0542</v>
      </c>
      <c r="V45" s="5">
        <v>0.0542</v>
      </c>
      <c r="W45" s="5">
        <v>0.0497</v>
      </c>
      <c r="X45" s="5">
        <v>0.0293</v>
      </c>
      <c r="Y45" s="5">
        <v>0.0293</v>
      </c>
      <c r="Z45" s="5">
        <v>0.0316</v>
      </c>
      <c r="AA45" s="5">
        <v>0.0293</v>
      </c>
      <c r="AB45" s="5">
        <v>0.0271</v>
      </c>
      <c r="AC45" s="5">
        <v>0.0293</v>
      </c>
      <c r="AD45" s="2" t="s">
        <v>91</v>
      </c>
      <c r="AE45" s="2" t="s">
        <v>91</v>
      </c>
      <c r="AF45" s="2" t="s">
        <v>91</v>
      </c>
      <c r="AG45" s="2" t="s">
        <v>91</v>
      </c>
      <c r="AH45" s="2" t="s">
        <v>91</v>
      </c>
      <c r="AI45" s="2" t="s">
        <v>91</v>
      </c>
    </row>
    <row r="46" ht="16.5" hidden="1" spans="1:35">
      <c r="A46" s="2" t="s">
        <v>33</v>
      </c>
      <c r="B46" s="2" t="s">
        <v>73</v>
      </c>
      <c r="C46" s="4">
        <v>508</v>
      </c>
      <c r="D46" s="2" t="s">
        <v>19</v>
      </c>
      <c r="E46" s="4">
        <v>508</v>
      </c>
      <c r="F46" s="4">
        <v>214</v>
      </c>
      <c r="G46" s="4">
        <v>137</v>
      </c>
      <c r="H46" s="4">
        <v>106</v>
      </c>
      <c r="I46" s="4">
        <v>84</v>
      </c>
      <c r="J46" s="4">
        <v>67</v>
      </c>
      <c r="K46" s="4">
        <v>62</v>
      </c>
      <c r="L46" s="4">
        <v>51</v>
      </c>
      <c r="M46" s="4">
        <v>49</v>
      </c>
      <c r="N46" s="4">
        <v>38</v>
      </c>
      <c r="O46" s="4">
        <v>32</v>
      </c>
      <c r="P46" s="4">
        <v>36</v>
      </c>
      <c r="Q46" s="4">
        <v>29</v>
      </c>
      <c r="R46" s="4">
        <v>32</v>
      </c>
      <c r="S46" s="4">
        <v>25</v>
      </c>
      <c r="T46" s="4">
        <v>22</v>
      </c>
      <c r="U46" s="4">
        <v>25</v>
      </c>
      <c r="V46" s="4">
        <v>17</v>
      </c>
      <c r="W46" s="4">
        <v>26</v>
      </c>
      <c r="X46" s="4">
        <v>18</v>
      </c>
      <c r="Y46" s="4">
        <v>12</v>
      </c>
      <c r="Z46" s="4">
        <v>10</v>
      </c>
      <c r="AA46" s="4">
        <v>17</v>
      </c>
      <c r="AB46" s="4">
        <v>13</v>
      </c>
      <c r="AC46" s="2" t="s">
        <v>91</v>
      </c>
      <c r="AD46" s="2" t="s">
        <v>91</v>
      </c>
      <c r="AE46" s="2" t="s">
        <v>91</v>
      </c>
      <c r="AF46" s="2" t="s">
        <v>91</v>
      </c>
      <c r="AG46" s="2" t="s">
        <v>91</v>
      </c>
      <c r="AH46" s="2" t="s">
        <v>91</v>
      </c>
      <c r="AI46" s="2" t="s">
        <v>91</v>
      </c>
    </row>
    <row r="47" ht="16.5" hidden="1" spans="1:35">
      <c r="A47" s="2" t="s">
        <v>33</v>
      </c>
      <c r="B47" s="2" t="s">
        <v>73</v>
      </c>
      <c r="C47" s="4">
        <v>508</v>
      </c>
      <c r="D47" s="2" t="s">
        <v>74</v>
      </c>
      <c r="E47" s="6">
        <v>1</v>
      </c>
      <c r="F47" s="5">
        <v>0.4213</v>
      </c>
      <c r="G47" s="5">
        <v>0.2697</v>
      </c>
      <c r="H47" s="5">
        <v>0.2087</v>
      </c>
      <c r="I47" s="5">
        <v>0.1654</v>
      </c>
      <c r="J47" s="5">
        <v>0.1319</v>
      </c>
      <c r="K47" s="5">
        <v>0.122</v>
      </c>
      <c r="L47" s="5">
        <v>0.1004</v>
      </c>
      <c r="M47" s="5">
        <v>0.0965</v>
      </c>
      <c r="N47" s="5">
        <v>0.0748</v>
      </c>
      <c r="O47" s="5">
        <v>0.063</v>
      </c>
      <c r="P47" s="5">
        <v>0.0709</v>
      </c>
      <c r="Q47" s="5">
        <v>0.0571</v>
      </c>
      <c r="R47" s="5">
        <v>0.063</v>
      </c>
      <c r="S47" s="5">
        <v>0.0492</v>
      </c>
      <c r="T47" s="5">
        <v>0.0433</v>
      </c>
      <c r="U47" s="5">
        <v>0.0492</v>
      </c>
      <c r="V47" s="5">
        <v>0.0335</v>
      </c>
      <c r="W47" s="5">
        <v>0.0512</v>
      </c>
      <c r="X47" s="5">
        <v>0.0354</v>
      </c>
      <c r="Y47" s="5">
        <v>0.0236</v>
      </c>
      <c r="Z47" s="5">
        <v>0.0197</v>
      </c>
      <c r="AA47" s="5">
        <v>0.0335</v>
      </c>
      <c r="AB47" s="5">
        <v>0.0256</v>
      </c>
      <c r="AC47" s="2" t="s">
        <v>91</v>
      </c>
      <c r="AD47" s="2" t="s">
        <v>91</v>
      </c>
      <c r="AE47" s="2" t="s">
        <v>91</v>
      </c>
      <c r="AF47" s="2" t="s">
        <v>91</v>
      </c>
      <c r="AG47" s="2" t="s">
        <v>91</v>
      </c>
      <c r="AH47" s="2" t="s">
        <v>91</v>
      </c>
      <c r="AI47" s="2" t="s">
        <v>91</v>
      </c>
    </row>
    <row r="48" ht="16.5" hidden="1" spans="1:35">
      <c r="A48" s="2" t="s">
        <v>37</v>
      </c>
      <c r="B48" s="2" t="s">
        <v>73</v>
      </c>
      <c r="C48" s="4">
        <v>633</v>
      </c>
      <c r="D48" s="2" t="s">
        <v>19</v>
      </c>
      <c r="E48" s="4">
        <v>632</v>
      </c>
      <c r="F48" s="4">
        <v>249</v>
      </c>
      <c r="G48" s="4">
        <v>161</v>
      </c>
      <c r="H48" s="4">
        <v>135</v>
      </c>
      <c r="I48" s="4">
        <v>102</v>
      </c>
      <c r="J48" s="4">
        <v>79</v>
      </c>
      <c r="K48" s="4">
        <v>76</v>
      </c>
      <c r="L48" s="4">
        <v>67</v>
      </c>
      <c r="M48" s="4">
        <v>64</v>
      </c>
      <c r="N48" s="4">
        <v>42</v>
      </c>
      <c r="O48" s="4">
        <v>43</v>
      </c>
      <c r="P48" s="4">
        <v>34</v>
      </c>
      <c r="Q48" s="4">
        <v>31</v>
      </c>
      <c r="R48" s="4">
        <v>37</v>
      </c>
      <c r="S48" s="4">
        <v>24</v>
      </c>
      <c r="T48" s="4">
        <v>19</v>
      </c>
      <c r="U48" s="4">
        <v>20</v>
      </c>
      <c r="V48" s="4">
        <v>22</v>
      </c>
      <c r="W48" s="4">
        <v>18</v>
      </c>
      <c r="X48" s="4">
        <v>18</v>
      </c>
      <c r="Y48" s="4">
        <v>20</v>
      </c>
      <c r="Z48" s="4">
        <v>15</v>
      </c>
      <c r="AA48" s="4">
        <v>10</v>
      </c>
      <c r="AB48" s="2" t="s">
        <v>91</v>
      </c>
      <c r="AC48" s="2" t="s">
        <v>91</v>
      </c>
      <c r="AD48" s="2" t="s">
        <v>91</v>
      </c>
      <c r="AE48" s="2" t="s">
        <v>91</v>
      </c>
      <c r="AF48" s="2" t="s">
        <v>91</v>
      </c>
      <c r="AG48" s="2" t="s">
        <v>91</v>
      </c>
      <c r="AH48" s="2" t="s">
        <v>91</v>
      </c>
      <c r="AI48" s="2" t="s">
        <v>91</v>
      </c>
    </row>
    <row r="49" ht="16.5" hidden="1" spans="1:35">
      <c r="A49" s="2" t="s">
        <v>37</v>
      </c>
      <c r="B49" s="2" t="s">
        <v>73</v>
      </c>
      <c r="C49" s="4">
        <v>633</v>
      </c>
      <c r="D49" s="2" t="s">
        <v>74</v>
      </c>
      <c r="E49" s="5">
        <v>0.9984</v>
      </c>
      <c r="F49" s="5">
        <v>0.3934</v>
      </c>
      <c r="G49" s="5">
        <v>0.2543</v>
      </c>
      <c r="H49" s="5">
        <v>0.2133</v>
      </c>
      <c r="I49" s="5">
        <v>0.1611</v>
      </c>
      <c r="J49" s="5">
        <v>0.1248</v>
      </c>
      <c r="K49" s="5">
        <v>0.1201</v>
      </c>
      <c r="L49" s="5">
        <v>0.1058</v>
      </c>
      <c r="M49" s="5">
        <v>0.1011</v>
      </c>
      <c r="N49" s="5">
        <v>0.0664</v>
      </c>
      <c r="O49" s="5">
        <v>0.0679</v>
      </c>
      <c r="P49" s="5">
        <v>0.0537</v>
      </c>
      <c r="Q49" s="5">
        <v>0.049</v>
      </c>
      <c r="R49" s="5">
        <v>0.0585</v>
      </c>
      <c r="S49" s="5">
        <v>0.0379</v>
      </c>
      <c r="T49" s="6">
        <v>0.03</v>
      </c>
      <c r="U49" s="5">
        <v>0.0316</v>
      </c>
      <c r="V49" s="5">
        <v>0.0348</v>
      </c>
      <c r="W49" s="5">
        <v>0.0284</v>
      </c>
      <c r="X49" s="5">
        <v>0.0284</v>
      </c>
      <c r="Y49" s="5">
        <v>0.0316</v>
      </c>
      <c r="Z49" s="5">
        <v>0.0237</v>
      </c>
      <c r="AA49" s="5">
        <v>0.0158</v>
      </c>
      <c r="AB49" s="2" t="s">
        <v>91</v>
      </c>
      <c r="AC49" s="2" t="s">
        <v>91</v>
      </c>
      <c r="AD49" s="2" t="s">
        <v>91</v>
      </c>
      <c r="AE49" s="2" t="s">
        <v>91</v>
      </c>
      <c r="AF49" s="2" t="s">
        <v>91</v>
      </c>
      <c r="AG49" s="2" t="s">
        <v>91</v>
      </c>
      <c r="AH49" s="2" t="s">
        <v>91</v>
      </c>
      <c r="AI49" s="2" t="s">
        <v>91</v>
      </c>
    </row>
    <row r="50" ht="16.5" hidden="1" spans="1:35">
      <c r="A50" s="2" t="s">
        <v>38</v>
      </c>
      <c r="B50" s="2" t="s">
        <v>73</v>
      </c>
      <c r="C50" s="4">
        <v>363</v>
      </c>
      <c r="D50" s="2" t="s">
        <v>19</v>
      </c>
      <c r="E50" s="4">
        <v>362</v>
      </c>
      <c r="F50" s="4">
        <v>131</v>
      </c>
      <c r="G50" s="4">
        <v>94</v>
      </c>
      <c r="H50" s="4">
        <v>71</v>
      </c>
      <c r="I50" s="4">
        <v>61</v>
      </c>
      <c r="J50" s="4">
        <v>44</v>
      </c>
      <c r="K50" s="4">
        <v>39</v>
      </c>
      <c r="L50" s="4">
        <v>33</v>
      </c>
      <c r="M50" s="4">
        <v>36</v>
      </c>
      <c r="N50" s="4">
        <v>27</v>
      </c>
      <c r="O50" s="4">
        <v>22</v>
      </c>
      <c r="P50" s="4">
        <v>21</v>
      </c>
      <c r="Q50" s="4">
        <v>19</v>
      </c>
      <c r="R50" s="4">
        <v>16</v>
      </c>
      <c r="S50" s="4">
        <v>13</v>
      </c>
      <c r="T50" s="4">
        <v>14</v>
      </c>
      <c r="U50" s="4">
        <v>16</v>
      </c>
      <c r="V50" s="4">
        <v>15</v>
      </c>
      <c r="W50" s="4">
        <v>11</v>
      </c>
      <c r="X50" s="4">
        <v>17</v>
      </c>
      <c r="Y50" s="4">
        <v>10</v>
      </c>
      <c r="Z50" s="4">
        <v>10</v>
      </c>
      <c r="AA50" s="2" t="s">
        <v>91</v>
      </c>
      <c r="AB50" s="2" t="s">
        <v>91</v>
      </c>
      <c r="AC50" s="2" t="s">
        <v>91</v>
      </c>
      <c r="AD50" s="2" t="s">
        <v>91</v>
      </c>
      <c r="AE50" s="2" t="s">
        <v>91</v>
      </c>
      <c r="AF50" s="2" t="s">
        <v>91</v>
      </c>
      <c r="AG50" s="2" t="s">
        <v>91</v>
      </c>
      <c r="AH50" s="2" t="s">
        <v>91</v>
      </c>
      <c r="AI50" s="2" t="s">
        <v>91</v>
      </c>
    </row>
    <row r="51" ht="16.5" hidden="1" spans="1:35">
      <c r="A51" s="2" t="s">
        <v>38</v>
      </c>
      <c r="B51" s="2" t="s">
        <v>73</v>
      </c>
      <c r="C51" s="4">
        <v>363</v>
      </c>
      <c r="D51" s="2" t="s">
        <v>74</v>
      </c>
      <c r="E51" s="5">
        <v>0.9972</v>
      </c>
      <c r="F51" s="5">
        <v>0.3609</v>
      </c>
      <c r="G51" s="5">
        <v>0.259</v>
      </c>
      <c r="H51" s="5">
        <v>0.1956</v>
      </c>
      <c r="I51" s="5">
        <v>0.168</v>
      </c>
      <c r="J51" s="5">
        <v>0.1212</v>
      </c>
      <c r="K51" s="5">
        <v>0.1074</v>
      </c>
      <c r="L51" s="5">
        <v>0.0909</v>
      </c>
      <c r="M51" s="5">
        <v>0.0992</v>
      </c>
      <c r="N51" s="5">
        <v>0.0744</v>
      </c>
      <c r="O51" s="5">
        <v>0.0606</v>
      </c>
      <c r="P51" s="5">
        <v>0.0579</v>
      </c>
      <c r="Q51" s="5">
        <v>0.0523</v>
      </c>
      <c r="R51" s="5">
        <v>0.0441</v>
      </c>
      <c r="S51" s="5">
        <v>0.0358</v>
      </c>
      <c r="T51" s="5">
        <v>0.0386</v>
      </c>
      <c r="U51" s="5">
        <v>0.0441</v>
      </c>
      <c r="V51" s="5">
        <v>0.0413</v>
      </c>
      <c r="W51" s="5">
        <v>0.0303</v>
      </c>
      <c r="X51" s="5">
        <v>0.0468</v>
      </c>
      <c r="Y51" s="5">
        <v>0.0275</v>
      </c>
      <c r="Z51" s="5">
        <v>0.0275</v>
      </c>
      <c r="AA51" s="2" t="s">
        <v>91</v>
      </c>
      <c r="AB51" s="2" t="s">
        <v>91</v>
      </c>
      <c r="AC51" s="2" t="s">
        <v>91</v>
      </c>
      <c r="AD51" s="2" t="s">
        <v>91</v>
      </c>
      <c r="AE51" s="2" t="s">
        <v>91</v>
      </c>
      <c r="AF51" s="2" t="s">
        <v>91</v>
      </c>
      <c r="AG51" s="2" t="s">
        <v>91</v>
      </c>
      <c r="AH51" s="2" t="s">
        <v>91</v>
      </c>
      <c r="AI51" s="2" t="s">
        <v>91</v>
      </c>
    </row>
    <row r="52" ht="16.5" hidden="1" spans="1:35">
      <c r="A52" s="2" t="s">
        <v>39</v>
      </c>
      <c r="B52" s="2" t="s">
        <v>73</v>
      </c>
      <c r="C52" s="4">
        <v>321</v>
      </c>
      <c r="D52" s="2" t="s">
        <v>19</v>
      </c>
      <c r="E52" s="4">
        <v>321</v>
      </c>
      <c r="F52" s="4">
        <v>128</v>
      </c>
      <c r="G52" s="4">
        <v>81</v>
      </c>
      <c r="H52" s="4">
        <v>63</v>
      </c>
      <c r="I52" s="4">
        <v>57</v>
      </c>
      <c r="J52" s="4">
        <v>46</v>
      </c>
      <c r="K52" s="4">
        <v>39</v>
      </c>
      <c r="L52" s="4">
        <v>31</v>
      </c>
      <c r="M52" s="4">
        <v>26</v>
      </c>
      <c r="N52" s="4">
        <v>19</v>
      </c>
      <c r="O52" s="4">
        <v>13</v>
      </c>
      <c r="P52" s="4">
        <v>15</v>
      </c>
      <c r="Q52" s="4">
        <v>17</v>
      </c>
      <c r="R52" s="4">
        <v>17</v>
      </c>
      <c r="S52" s="4">
        <v>13</v>
      </c>
      <c r="T52" s="4">
        <v>13</v>
      </c>
      <c r="U52" s="4">
        <v>10</v>
      </c>
      <c r="V52" s="4">
        <v>8</v>
      </c>
      <c r="W52" s="4">
        <v>7</v>
      </c>
      <c r="X52" s="4">
        <v>7</v>
      </c>
      <c r="Y52" s="4">
        <v>7</v>
      </c>
      <c r="Z52" s="2" t="s">
        <v>91</v>
      </c>
      <c r="AA52" s="2" t="s">
        <v>91</v>
      </c>
      <c r="AB52" s="2" t="s">
        <v>91</v>
      </c>
      <c r="AC52" s="2" t="s">
        <v>91</v>
      </c>
      <c r="AD52" s="2" t="s">
        <v>91</v>
      </c>
      <c r="AE52" s="2" t="s">
        <v>91</v>
      </c>
      <c r="AF52" s="2" t="s">
        <v>91</v>
      </c>
      <c r="AG52" s="2" t="s">
        <v>91</v>
      </c>
      <c r="AH52" s="2" t="s">
        <v>91</v>
      </c>
      <c r="AI52" s="2" t="s">
        <v>91</v>
      </c>
    </row>
    <row r="53" ht="16.5" hidden="1" spans="1:35">
      <c r="A53" s="2" t="s">
        <v>39</v>
      </c>
      <c r="B53" s="2" t="s">
        <v>73</v>
      </c>
      <c r="C53" s="4">
        <v>321</v>
      </c>
      <c r="D53" s="2" t="s">
        <v>74</v>
      </c>
      <c r="E53" s="6">
        <v>1</v>
      </c>
      <c r="F53" s="5">
        <v>0.3988</v>
      </c>
      <c r="G53" s="5">
        <v>0.2523</v>
      </c>
      <c r="H53" s="5">
        <v>0.1963</v>
      </c>
      <c r="I53" s="5">
        <v>0.1776</v>
      </c>
      <c r="J53" s="5">
        <v>0.1433</v>
      </c>
      <c r="K53" s="5">
        <v>0.1215</v>
      </c>
      <c r="L53" s="5">
        <v>0.0966</v>
      </c>
      <c r="M53" s="5">
        <v>0.081</v>
      </c>
      <c r="N53" s="5">
        <v>0.0592</v>
      </c>
      <c r="O53" s="5">
        <v>0.0405</v>
      </c>
      <c r="P53" s="5">
        <v>0.0467</v>
      </c>
      <c r="Q53" s="5">
        <v>0.053</v>
      </c>
      <c r="R53" s="5">
        <v>0.053</v>
      </c>
      <c r="S53" s="5">
        <v>0.0405</v>
      </c>
      <c r="T53" s="5">
        <v>0.0405</v>
      </c>
      <c r="U53" s="5">
        <v>0.0312</v>
      </c>
      <c r="V53" s="5">
        <v>0.0249</v>
      </c>
      <c r="W53" s="5">
        <v>0.0218</v>
      </c>
      <c r="X53" s="5">
        <v>0.0218</v>
      </c>
      <c r="Y53" s="5">
        <v>0.0218</v>
      </c>
      <c r="Z53" s="2" t="s">
        <v>91</v>
      </c>
      <c r="AA53" s="2" t="s">
        <v>91</v>
      </c>
      <c r="AB53" s="2" t="s">
        <v>91</v>
      </c>
      <c r="AC53" s="2" t="s">
        <v>91</v>
      </c>
      <c r="AD53" s="2" t="s">
        <v>91</v>
      </c>
      <c r="AE53" s="2" t="s">
        <v>91</v>
      </c>
      <c r="AF53" s="2" t="s">
        <v>91</v>
      </c>
      <c r="AG53" s="2" t="s">
        <v>91</v>
      </c>
      <c r="AH53" s="2" t="s">
        <v>91</v>
      </c>
      <c r="AI53" s="2" t="s">
        <v>91</v>
      </c>
    </row>
    <row r="54" ht="16.5" hidden="1" spans="1:35">
      <c r="A54" s="2" t="s">
        <v>40</v>
      </c>
      <c r="B54" s="2" t="s">
        <v>73</v>
      </c>
      <c r="C54" s="4">
        <v>355</v>
      </c>
      <c r="D54" s="2" t="s">
        <v>19</v>
      </c>
      <c r="E54" s="4">
        <v>355</v>
      </c>
      <c r="F54" s="4">
        <v>126</v>
      </c>
      <c r="G54" s="4">
        <v>82</v>
      </c>
      <c r="H54" s="4">
        <v>60</v>
      </c>
      <c r="I54" s="4">
        <v>48</v>
      </c>
      <c r="J54" s="4">
        <v>43</v>
      </c>
      <c r="K54" s="4">
        <v>28</v>
      </c>
      <c r="L54" s="4">
        <v>31</v>
      </c>
      <c r="M54" s="4">
        <v>30</v>
      </c>
      <c r="N54" s="4">
        <v>26</v>
      </c>
      <c r="O54" s="4">
        <v>24</v>
      </c>
      <c r="P54" s="4">
        <v>22</v>
      </c>
      <c r="Q54" s="4">
        <v>16</v>
      </c>
      <c r="R54" s="4">
        <v>23</v>
      </c>
      <c r="S54" s="4">
        <v>23</v>
      </c>
      <c r="T54" s="4">
        <v>18</v>
      </c>
      <c r="U54" s="4">
        <v>10</v>
      </c>
      <c r="V54" s="4">
        <v>11</v>
      </c>
      <c r="W54" s="4">
        <v>17</v>
      </c>
      <c r="X54" s="4">
        <v>11</v>
      </c>
      <c r="Y54" s="2" t="s">
        <v>91</v>
      </c>
      <c r="Z54" s="2" t="s">
        <v>91</v>
      </c>
      <c r="AA54" s="2" t="s">
        <v>91</v>
      </c>
      <c r="AB54" s="2" t="s">
        <v>91</v>
      </c>
      <c r="AC54" s="2" t="s">
        <v>91</v>
      </c>
      <c r="AD54" s="2" t="s">
        <v>91</v>
      </c>
      <c r="AE54" s="2" t="s">
        <v>91</v>
      </c>
      <c r="AF54" s="2" t="s">
        <v>91</v>
      </c>
      <c r="AG54" s="2" t="s">
        <v>91</v>
      </c>
      <c r="AH54" s="2" t="s">
        <v>91</v>
      </c>
      <c r="AI54" s="2" t="s">
        <v>91</v>
      </c>
    </row>
    <row r="55" ht="16.5" hidden="1" spans="1:35">
      <c r="A55" s="2" t="s">
        <v>40</v>
      </c>
      <c r="B55" s="2" t="s">
        <v>73</v>
      </c>
      <c r="C55" s="4">
        <v>355</v>
      </c>
      <c r="D55" s="2" t="s">
        <v>74</v>
      </c>
      <c r="E55" s="6">
        <v>1</v>
      </c>
      <c r="F55" s="5">
        <v>0.3549</v>
      </c>
      <c r="G55" s="5">
        <v>0.231</v>
      </c>
      <c r="H55" s="5">
        <v>0.169</v>
      </c>
      <c r="I55" s="5">
        <v>0.1352</v>
      </c>
      <c r="J55" s="5">
        <v>0.1211</v>
      </c>
      <c r="K55" s="5">
        <v>0.0789</v>
      </c>
      <c r="L55" s="5">
        <v>0.0873</v>
      </c>
      <c r="M55" s="5">
        <v>0.0845</v>
      </c>
      <c r="N55" s="5">
        <v>0.0732</v>
      </c>
      <c r="O55" s="5">
        <v>0.0676</v>
      </c>
      <c r="P55" s="5">
        <v>0.062</v>
      </c>
      <c r="Q55" s="5">
        <v>0.0451</v>
      </c>
      <c r="R55" s="5">
        <v>0.0648</v>
      </c>
      <c r="S55" s="5">
        <v>0.0648</v>
      </c>
      <c r="T55" s="5">
        <v>0.0507</v>
      </c>
      <c r="U55" s="5">
        <v>0.0282</v>
      </c>
      <c r="V55" s="5">
        <v>0.031</v>
      </c>
      <c r="W55" s="5">
        <v>0.0479</v>
      </c>
      <c r="X55" s="5">
        <v>0.031</v>
      </c>
      <c r="Y55" s="2" t="s">
        <v>91</v>
      </c>
      <c r="Z55" s="2" t="s">
        <v>91</v>
      </c>
      <c r="AA55" s="2" t="s">
        <v>91</v>
      </c>
      <c r="AB55" s="2" t="s">
        <v>91</v>
      </c>
      <c r="AC55" s="2" t="s">
        <v>91</v>
      </c>
      <c r="AD55" s="2" t="s">
        <v>91</v>
      </c>
      <c r="AE55" s="2" t="s">
        <v>91</v>
      </c>
      <c r="AF55" s="2" t="s">
        <v>91</v>
      </c>
      <c r="AG55" s="2" t="s">
        <v>91</v>
      </c>
      <c r="AH55" s="2" t="s">
        <v>91</v>
      </c>
      <c r="AI55" s="2" t="s">
        <v>91</v>
      </c>
    </row>
    <row r="56" ht="16.5" hidden="1" spans="1:35">
      <c r="A56" s="2" t="s">
        <v>41</v>
      </c>
      <c r="B56" s="2" t="s">
        <v>73</v>
      </c>
      <c r="C56" s="4">
        <v>438</v>
      </c>
      <c r="D56" s="2" t="s">
        <v>19</v>
      </c>
      <c r="E56" s="4">
        <v>438</v>
      </c>
      <c r="F56" s="4">
        <v>161</v>
      </c>
      <c r="G56" s="4">
        <v>88</v>
      </c>
      <c r="H56" s="4">
        <v>73</v>
      </c>
      <c r="I56" s="4">
        <v>59</v>
      </c>
      <c r="J56" s="4">
        <v>51</v>
      </c>
      <c r="K56" s="4">
        <v>43</v>
      </c>
      <c r="L56" s="4">
        <v>45</v>
      </c>
      <c r="M56" s="4">
        <v>30</v>
      </c>
      <c r="N56" s="4">
        <v>24</v>
      </c>
      <c r="O56" s="4">
        <v>23</v>
      </c>
      <c r="P56" s="4">
        <v>22</v>
      </c>
      <c r="Q56" s="4">
        <v>19</v>
      </c>
      <c r="R56" s="4">
        <v>13</v>
      </c>
      <c r="S56" s="4">
        <v>14</v>
      </c>
      <c r="T56" s="4">
        <v>15</v>
      </c>
      <c r="U56" s="4">
        <v>17</v>
      </c>
      <c r="V56" s="4">
        <v>11</v>
      </c>
      <c r="W56" s="4">
        <v>6</v>
      </c>
      <c r="X56" s="2" t="s">
        <v>91</v>
      </c>
      <c r="Y56" s="2" t="s">
        <v>91</v>
      </c>
      <c r="Z56" s="2" t="s">
        <v>91</v>
      </c>
      <c r="AA56" s="2" t="s">
        <v>91</v>
      </c>
      <c r="AB56" s="2" t="s">
        <v>91</v>
      </c>
      <c r="AC56" s="2" t="s">
        <v>91</v>
      </c>
      <c r="AD56" s="2" t="s">
        <v>91</v>
      </c>
      <c r="AE56" s="2" t="s">
        <v>91</v>
      </c>
      <c r="AF56" s="2" t="s">
        <v>91</v>
      </c>
      <c r="AG56" s="2" t="s">
        <v>91</v>
      </c>
      <c r="AH56" s="2" t="s">
        <v>91</v>
      </c>
      <c r="AI56" s="2" t="s">
        <v>91</v>
      </c>
    </row>
    <row r="57" ht="16.5" hidden="1" spans="1:35">
      <c r="A57" s="2" t="s">
        <v>41</v>
      </c>
      <c r="B57" s="2" t="s">
        <v>73</v>
      </c>
      <c r="C57" s="4">
        <v>438</v>
      </c>
      <c r="D57" s="2" t="s">
        <v>74</v>
      </c>
      <c r="E57" s="6">
        <v>1</v>
      </c>
      <c r="F57" s="5">
        <v>0.3676</v>
      </c>
      <c r="G57" s="5">
        <v>0.2009</v>
      </c>
      <c r="H57" s="5">
        <v>0.1667</v>
      </c>
      <c r="I57" s="5">
        <v>0.1347</v>
      </c>
      <c r="J57" s="5">
        <v>0.1164</v>
      </c>
      <c r="K57" s="5">
        <v>0.0982</v>
      </c>
      <c r="L57" s="5">
        <v>0.1027</v>
      </c>
      <c r="M57" s="5">
        <v>0.0685</v>
      </c>
      <c r="N57" s="5">
        <v>0.0548</v>
      </c>
      <c r="O57" s="5">
        <v>0.0525</v>
      </c>
      <c r="P57" s="5">
        <v>0.0502</v>
      </c>
      <c r="Q57" s="5">
        <v>0.0434</v>
      </c>
      <c r="R57" s="5">
        <v>0.0297</v>
      </c>
      <c r="S57" s="5">
        <v>0.032</v>
      </c>
      <c r="T57" s="5">
        <v>0.0342</v>
      </c>
      <c r="U57" s="5">
        <v>0.0388</v>
      </c>
      <c r="V57" s="5">
        <v>0.0251</v>
      </c>
      <c r="W57" s="5">
        <v>0.0137</v>
      </c>
      <c r="X57" s="2" t="s">
        <v>91</v>
      </c>
      <c r="Y57" s="2" t="s">
        <v>91</v>
      </c>
      <c r="Z57" s="2" t="s">
        <v>91</v>
      </c>
      <c r="AA57" s="2" t="s">
        <v>91</v>
      </c>
      <c r="AB57" s="2" t="s">
        <v>91</v>
      </c>
      <c r="AC57" s="2" t="s">
        <v>91</v>
      </c>
      <c r="AD57" s="2" t="s">
        <v>91</v>
      </c>
      <c r="AE57" s="2" t="s">
        <v>91</v>
      </c>
      <c r="AF57" s="2" t="s">
        <v>91</v>
      </c>
      <c r="AG57" s="2" t="s">
        <v>91</v>
      </c>
      <c r="AH57" s="2" t="s">
        <v>91</v>
      </c>
      <c r="AI57" s="2" t="s">
        <v>91</v>
      </c>
    </row>
    <row r="58" ht="16.5" hidden="1" spans="1:35">
      <c r="A58" s="2" t="s">
        <v>42</v>
      </c>
      <c r="B58" s="2" t="s">
        <v>73</v>
      </c>
      <c r="C58" s="4">
        <v>734</v>
      </c>
      <c r="D58" s="2" t="s">
        <v>19</v>
      </c>
      <c r="E58" s="4">
        <v>734</v>
      </c>
      <c r="F58" s="4">
        <v>200</v>
      </c>
      <c r="G58" s="4">
        <v>120</v>
      </c>
      <c r="H58" s="4">
        <v>80</v>
      </c>
      <c r="I58" s="4">
        <v>73</v>
      </c>
      <c r="J58" s="4">
        <v>56</v>
      </c>
      <c r="K58" s="4">
        <v>49</v>
      </c>
      <c r="L58" s="4">
        <v>54</v>
      </c>
      <c r="M58" s="4">
        <v>39</v>
      </c>
      <c r="N58" s="4">
        <v>31</v>
      </c>
      <c r="O58" s="4">
        <v>27</v>
      </c>
      <c r="P58" s="4">
        <v>23</v>
      </c>
      <c r="Q58" s="4">
        <v>20</v>
      </c>
      <c r="R58" s="4">
        <v>23</v>
      </c>
      <c r="S58" s="4">
        <v>20</v>
      </c>
      <c r="T58" s="4">
        <v>19</v>
      </c>
      <c r="U58" s="4">
        <v>18</v>
      </c>
      <c r="V58" s="4">
        <v>16</v>
      </c>
      <c r="W58" s="2" t="s">
        <v>91</v>
      </c>
      <c r="X58" s="2" t="s">
        <v>91</v>
      </c>
      <c r="Y58" s="2" t="s">
        <v>91</v>
      </c>
      <c r="Z58" s="2" t="s">
        <v>91</v>
      </c>
      <c r="AA58" s="2" t="s">
        <v>91</v>
      </c>
      <c r="AB58" s="2" t="s">
        <v>91</v>
      </c>
      <c r="AC58" s="2" t="s">
        <v>91</v>
      </c>
      <c r="AD58" s="2" t="s">
        <v>91</v>
      </c>
      <c r="AE58" s="2" t="s">
        <v>91</v>
      </c>
      <c r="AF58" s="2" t="s">
        <v>91</v>
      </c>
      <c r="AG58" s="2" t="s">
        <v>91</v>
      </c>
      <c r="AH58" s="2" t="s">
        <v>91</v>
      </c>
      <c r="AI58" s="2" t="s">
        <v>91</v>
      </c>
    </row>
    <row r="59" ht="16.5" hidden="1" spans="1:35">
      <c r="A59" s="2" t="s">
        <v>42</v>
      </c>
      <c r="B59" s="2" t="s">
        <v>73</v>
      </c>
      <c r="C59" s="4">
        <v>734</v>
      </c>
      <c r="D59" s="2" t="s">
        <v>74</v>
      </c>
      <c r="E59" s="6">
        <v>1</v>
      </c>
      <c r="F59" s="5">
        <v>0.2725</v>
      </c>
      <c r="G59" s="5">
        <v>0.1635</v>
      </c>
      <c r="H59" s="5">
        <v>0.109</v>
      </c>
      <c r="I59" s="5">
        <v>0.0995</v>
      </c>
      <c r="J59" s="5">
        <v>0.0763</v>
      </c>
      <c r="K59" s="5">
        <v>0.0668</v>
      </c>
      <c r="L59" s="5">
        <v>0.0736</v>
      </c>
      <c r="M59" s="5">
        <v>0.0531</v>
      </c>
      <c r="N59" s="5">
        <v>0.0422</v>
      </c>
      <c r="O59" s="5">
        <v>0.0368</v>
      </c>
      <c r="P59" s="5">
        <v>0.0313</v>
      </c>
      <c r="Q59" s="5">
        <v>0.0272</v>
      </c>
      <c r="R59" s="5">
        <v>0.0313</v>
      </c>
      <c r="S59" s="5">
        <v>0.0272</v>
      </c>
      <c r="T59" s="5">
        <v>0.0259</v>
      </c>
      <c r="U59" s="5">
        <v>0.0245</v>
      </c>
      <c r="V59" s="5">
        <v>0.0218</v>
      </c>
      <c r="W59" s="2" t="s">
        <v>91</v>
      </c>
      <c r="X59" s="2" t="s">
        <v>91</v>
      </c>
      <c r="Y59" s="2" t="s">
        <v>91</v>
      </c>
      <c r="Z59" s="2" t="s">
        <v>91</v>
      </c>
      <c r="AA59" s="2" t="s">
        <v>91</v>
      </c>
      <c r="AB59" s="2" t="s">
        <v>91</v>
      </c>
      <c r="AC59" s="2" t="s">
        <v>91</v>
      </c>
      <c r="AD59" s="2" t="s">
        <v>91</v>
      </c>
      <c r="AE59" s="2" t="s">
        <v>91</v>
      </c>
      <c r="AF59" s="2" t="s">
        <v>91</v>
      </c>
      <c r="AG59" s="2" t="s">
        <v>91</v>
      </c>
      <c r="AH59" s="2" t="s">
        <v>91</v>
      </c>
      <c r="AI59" s="2" t="s">
        <v>91</v>
      </c>
    </row>
    <row r="60" ht="16.5" hidden="1" spans="1:35">
      <c r="A60" s="2" t="s">
        <v>43</v>
      </c>
      <c r="B60" s="2" t="s">
        <v>73</v>
      </c>
      <c r="C60" s="4">
        <v>398</v>
      </c>
      <c r="D60" s="2" t="s">
        <v>19</v>
      </c>
      <c r="E60" s="4">
        <v>398</v>
      </c>
      <c r="F60" s="4">
        <v>152</v>
      </c>
      <c r="G60" s="4">
        <v>94</v>
      </c>
      <c r="H60" s="4">
        <v>73</v>
      </c>
      <c r="I60" s="4">
        <v>62</v>
      </c>
      <c r="J60" s="4">
        <v>53</v>
      </c>
      <c r="K60" s="4">
        <v>43</v>
      </c>
      <c r="L60" s="4">
        <v>47</v>
      </c>
      <c r="M60" s="4">
        <v>35</v>
      </c>
      <c r="N60" s="4">
        <v>27</v>
      </c>
      <c r="O60" s="4">
        <v>25</v>
      </c>
      <c r="P60" s="4">
        <v>19</v>
      </c>
      <c r="Q60" s="4">
        <v>23</v>
      </c>
      <c r="R60" s="4">
        <v>16</v>
      </c>
      <c r="S60" s="4">
        <v>14</v>
      </c>
      <c r="T60" s="4">
        <v>15</v>
      </c>
      <c r="U60" s="4">
        <v>9</v>
      </c>
      <c r="V60" s="2" t="s">
        <v>91</v>
      </c>
      <c r="W60" s="2" t="s">
        <v>91</v>
      </c>
      <c r="X60" s="2" t="s">
        <v>91</v>
      </c>
      <c r="Y60" s="2" t="s">
        <v>91</v>
      </c>
      <c r="Z60" s="2" t="s">
        <v>91</v>
      </c>
      <c r="AA60" s="2" t="s">
        <v>91</v>
      </c>
      <c r="AB60" s="2" t="s">
        <v>91</v>
      </c>
      <c r="AC60" s="2" t="s">
        <v>91</v>
      </c>
      <c r="AD60" s="2" t="s">
        <v>91</v>
      </c>
      <c r="AE60" s="2" t="s">
        <v>91</v>
      </c>
      <c r="AF60" s="2" t="s">
        <v>91</v>
      </c>
      <c r="AG60" s="2" t="s">
        <v>91</v>
      </c>
      <c r="AH60" s="2" t="s">
        <v>91</v>
      </c>
      <c r="AI60" s="2" t="s">
        <v>91</v>
      </c>
    </row>
    <row r="61" ht="16.5" hidden="1" spans="1:35">
      <c r="A61" s="2" t="s">
        <v>43</v>
      </c>
      <c r="B61" s="2" t="s">
        <v>73</v>
      </c>
      <c r="C61" s="4">
        <v>398</v>
      </c>
      <c r="D61" s="2" t="s">
        <v>74</v>
      </c>
      <c r="E61" s="6">
        <v>1</v>
      </c>
      <c r="F61" s="5">
        <v>0.3819</v>
      </c>
      <c r="G61" s="5">
        <v>0.2362</v>
      </c>
      <c r="H61" s="5">
        <v>0.1834</v>
      </c>
      <c r="I61" s="5">
        <v>0.1558</v>
      </c>
      <c r="J61" s="5">
        <v>0.1332</v>
      </c>
      <c r="K61" s="5">
        <v>0.108</v>
      </c>
      <c r="L61" s="5">
        <v>0.1181</v>
      </c>
      <c r="M61" s="5">
        <v>0.0879</v>
      </c>
      <c r="N61" s="5">
        <v>0.0678</v>
      </c>
      <c r="O61" s="5">
        <v>0.0628</v>
      </c>
      <c r="P61" s="5">
        <v>0.0477</v>
      </c>
      <c r="Q61" s="5">
        <v>0.0578</v>
      </c>
      <c r="R61" s="5">
        <v>0.0402</v>
      </c>
      <c r="S61" s="5">
        <v>0.0352</v>
      </c>
      <c r="T61" s="5">
        <v>0.0377</v>
      </c>
      <c r="U61" s="5">
        <v>0.0226</v>
      </c>
      <c r="V61" s="2" t="s">
        <v>91</v>
      </c>
      <c r="W61" s="2" t="s">
        <v>91</v>
      </c>
      <c r="X61" s="2" t="s">
        <v>91</v>
      </c>
      <c r="Y61" s="2" t="s">
        <v>91</v>
      </c>
      <c r="Z61" s="2" t="s">
        <v>91</v>
      </c>
      <c r="AA61" s="2" t="s">
        <v>91</v>
      </c>
      <c r="AB61" s="2" t="s">
        <v>91</v>
      </c>
      <c r="AC61" s="2" t="s">
        <v>91</v>
      </c>
      <c r="AD61" s="2" t="s">
        <v>91</v>
      </c>
      <c r="AE61" s="2" t="s">
        <v>91</v>
      </c>
      <c r="AF61" s="2" t="s">
        <v>91</v>
      </c>
      <c r="AG61" s="2" t="s">
        <v>91</v>
      </c>
      <c r="AH61" s="2" t="s">
        <v>91</v>
      </c>
      <c r="AI61" s="2" t="s">
        <v>91</v>
      </c>
    </row>
    <row r="62" ht="16.5" hidden="1" spans="1:35">
      <c r="A62" s="2" t="s">
        <v>97</v>
      </c>
      <c r="B62" s="2" t="s">
        <v>73</v>
      </c>
      <c r="C62" s="4">
        <v>279</v>
      </c>
      <c r="D62" s="2" t="s">
        <v>19</v>
      </c>
      <c r="E62" s="4">
        <v>279</v>
      </c>
      <c r="F62" s="4">
        <v>106</v>
      </c>
      <c r="G62" s="4">
        <v>64</v>
      </c>
      <c r="H62" s="4">
        <v>60</v>
      </c>
      <c r="I62" s="4">
        <v>42</v>
      </c>
      <c r="J62" s="4">
        <v>36</v>
      </c>
      <c r="K62" s="4">
        <v>36</v>
      </c>
      <c r="L62" s="4">
        <v>28</v>
      </c>
      <c r="M62" s="4">
        <v>32</v>
      </c>
      <c r="N62" s="4">
        <v>18</v>
      </c>
      <c r="O62" s="4">
        <v>16</v>
      </c>
      <c r="P62" s="4">
        <v>14</v>
      </c>
      <c r="Q62" s="4">
        <v>15</v>
      </c>
      <c r="R62" s="4">
        <v>13</v>
      </c>
      <c r="S62" s="4">
        <v>9</v>
      </c>
      <c r="T62" s="4">
        <v>10</v>
      </c>
      <c r="U62" s="2" t="s">
        <v>91</v>
      </c>
      <c r="V62" s="2" t="s">
        <v>91</v>
      </c>
      <c r="W62" s="2" t="s">
        <v>91</v>
      </c>
      <c r="X62" s="2" t="s">
        <v>91</v>
      </c>
      <c r="Y62" s="2" t="s">
        <v>91</v>
      </c>
      <c r="Z62" s="2" t="s">
        <v>91</v>
      </c>
      <c r="AA62" s="2" t="s">
        <v>91</v>
      </c>
      <c r="AB62" s="2" t="s">
        <v>91</v>
      </c>
      <c r="AC62" s="2" t="s">
        <v>91</v>
      </c>
      <c r="AD62" s="2" t="s">
        <v>91</v>
      </c>
      <c r="AE62" s="2" t="s">
        <v>91</v>
      </c>
      <c r="AF62" s="2" t="s">
        <v>91</v>
      </c>
      <c r="AG62" s="2" t="s">
        <v>91</v>
      </c>
      <c r="AH62" s="2" t="s">
        <v>91</v>
      </c>
      <c r="AI62" s="2" t="s">
        <v>91</v>
      </c>
    </row>
    <row r="63" ht="16.5" hidden="1" spans="1:35">
      <c r="A63" s="2" t="s">
        <v>97</v>
      </c>
      <c r="B63" s="2" t="s">
        <v>73</v>
      </c>
      <c r="C63" s="4">
        <v>279</v>
      </c>
      <c r="D63" s="2" t="s">
        <v>74</v>
      </c>
      <c r="E63" s="6">
        <v>1</v>
      </c>
      <c r="F63" s="5">
        <v>0.3799</v>
      </c>
      <c r="G63" s="5">
        <v>0.2294</v>
      </c>
      <c r="H63" s="5">
        <v>0.2151</v>
      </c>
      <c r="I63" s="5">
        <v>0.1505</v>
      </c>
      <c r="J63" s="5">
        <v>0.129</v>
      </c>
      <c r="K63" s="5">
        <v>0.129</v>
      </c>
      <c r="L63" s="5">
        <v>0.1004</v>
      </c>
      <c r="M63" s="5">
        <v>0.1147</v>
      </c>
      <c r="N63" s="5">
        <v>0.0645</v>
      </c>
      <c r="O63" s="5">
        <v>0.0573</v>
      </c>
      <c r="P63" s="5">
        <v>0.0502</v>
      </c>
      <c r="Q63" s="5">
        <v>0.0538</v>
      </c>
      <c r="R63" s="5">
        <v>0.0466</v>
      </c>
      <c r="S63" s="5">
        <v>0.0323</v>
      </c>
      <c r="T63" s="5">
        <v>0.0358</v>
      </c>
      <c r="U63" s="2" t="s">
        <v>91</v>
      </c>
      <c r="V63" s="2" t="s">
        <v>91</v>
      </c>
      <c r="W63" s="2" t="s">
        <v>91</v>
      </c>
      <c r="X63" s="2" t="s">
        <v>91</v>
      </c>
      <c r="Y63" s="2" t="s">
        <v>91</v>
      </c>
      <c r="Z63" s="2" t="s">
        <v>91</v>
      </c>
      <c r="AA63" s="2" t="s">
        <v>91</v>
      </c>
      <c r="AB63" s="2" t="s">
        <v>91</v>
      </c>
      <c r="AC63" s="2" t="s">
        <v>91</v>
      </c>
      <c r="AD63" s="2" t="s">
        <v>91</v>
      </c>
      <c r="AE63" s="2" t="s">
        <v>91</v>
      </c>
      <c r="AF63" s="2" t="s">
        <v>91</v>
      </c>
      <c r="AG63" s="2" t="s">
        <v>91</v>
      </c>
      <c r="AH63" s="2" t="s">
        <v>91</v>
      </c>
      <c r="AI63" s="2" t="s">
        <v>91</v>
      </c>
    </row>
    <row r="64" ht="16.5" hidden="1" spans="1:35">
      <c r="A64" s="2" t="s">
        <v>17</v>
      </c>
      <c r="B64" s="2" t="s">
        <v>73</v>
      </c>
      <c r="C64" s="4">
        <v>318</v>
      </c>
      <c r="D64" s="2" t="s">
        <v>19</v>
      </c>
      <c r="E64" s="4">
        <v>318</v>
      </c>
      <c r="F64" s="4">
        <v>120</v>
      </c>
      <c r="G64" s="4">
        <v>83</v>
      </c>
      <c r="H64" s="4">
        <v>57</v>
      </c>
      <c r="I64" s="4">
        <v>51</v>
      </c>
      <c r="J64" s="4">
        <v>54</v>
      </c>
      <c r="K64" s="4">
        <v>43</v>
      </c>
      <c r="L64" s="4">
        <v>32</v>
      </c>
      <c r="M64" s="4">
        <v>34</v>
      </c>
      <c r="N64" s="4">
        <v>35</v>
      </c>
      <c r="O64" s="4">
        <v>26</v>
      </c>
      <c r="P64" s="4">
        <v>16</v>
      </c>
      <c r="Q64" s="4">
        <v>21</v>
      </c>
      <c r="R64" s="4">
        <v>22</v>
      </c>
      <c r="S64" s="4">
        <v>14</v>
      </c>
      <c r="T64" s="2" t="s">
        <v>91</v>
      </c>
      <c r="U64" s="2" t="s">
        <v>91</v>
      </c>
      <c r="V64" s="2" t="s">
        <v>91</v>
      </c>
      <c r="W64" s="2" t="s">
        <v>91</v>
      </c>
      <c r="X64" s="2" t="s">
        <v>91</v>
      </c>
      <c r="Y64" s="2" t="s">
        <v>91</v>
      </c>
      <c r="Z64" s="2" t="s">
        <v>91</v>
      </c>
      <c r="AA64" s="2" t="s">
        <v>91</v>
      </c>
      <c r="AB64" s="2" t="s">
        <v>91</v>
      </c>
      <c r="AC64" s="2" t="s">
        <v>91</v>
      </c>
      <c r="AD64" s="2" t="s">
        <v>91</v>
      </c>
      <c r="AE64" s="2" t="s">
        <v>91</v>
      </c>
      <c r="AF64" s="2" t="s">
        <v>91</v>
      </c>
      <c r="AG64" s="2" t="s">
        <v>91</v>
      </c>
      <c r="AH64" s="2" t="s">
        <v>91</v>
      </c>
      <c r="AI64" s="2" t="s">
        <v>91</v>
      </c>
    </row>
    <row r="65" ht="16.5" hidden="1" spans="1:35">
      <c r="A65" s="2" t="s">
        <v>17</v>
      </c>
      <c r="B65" s="2" t="s">
        <v>73</v>
      </c>
      <c r="C65" s="4">
        <v>318</v>
      </c>
      <c r="D65" s="2" t="s">
        <v>74</v>
      </c>
      <c r="E65" s="6">
        <v>1</v>
      </c>
      <c r="F65" s="5">
        <v>0.3774</v>
      </c>
      <c r="G65" s="5">
        <v>0.261</v>
      </c>
      <c r="H65" s="5">
        <v>0.1792</v>
      </c>
      <c r="I65" s="5">
        <v>0.1604</v>
      </c>
      <c r="J65" s="5">
        <v>0.1698</v>
      </c>
      <c r="K65" s="5">
        <v>0.1352</v>
      </c>
      <c r="L65" s="5">
        <v>0.1006</v>
      </c>
      <c r="M65" s="5">
        <v>0.1069</v>
      </c>
      <c r="N65" s="5">
        <v>0.1101</v>
      </c>
      <c r="O65" s="5">
        <v>0.0818</v>
      </c>
      <c r="P65" s="5">
        <v>0.0503</v>
      </c>
      <c r="Q65" s="5">
        <v>0.066</v>
      </c>
      <c r="R65" s="5">
        <v>0.0692</v>
      </c>
      <c r="S65" s="5">
        <v>0.044</v>
      </c>
      <c r="T65" s="2" t="s">
        <v>91</v>
      </c>
      <c r="U65" s="2" t="s">
        <v>91</v>
      </c>
      <c r="V65" s="2" t="s">
        <v>91</v>
      </c>
      <c r="W65" s="2" t="s">
        <v>91</v>
      </c>
      <c r="X65" s="2" t="s">
        <v>91</v>
      </c>
      <c r="Y65" s="2" t="s">
        <v>91</v>
      </c>
      <c r="Z65" s="2" t="s">
        <v>91</v>
      </c>
      <c r="AA65" s="2" t="s">
        <v>91</v>
      </c>
      <c r="AB65" s="2" t="s">
        <v>91</v>
      </c>
      <c r="AC65" s="2" t="s">
        <v>91</v>
      </c>
      <c r="AD65" s="2" t="s">
        <v>91</v>
      </c>
      <c r="AE65" s="2" t="s">
        <v>91</v>
      </c>
      <c r="AF65" s="2" t="s">
        <v>91</v>
      </c>
      <c r="AG65" s="2" t="s">
        <v>91</v>
      </c>
      <c r="AH65" s="2" t="s">
        <v>91</v>
      </c>
      <c r="AI65" s="2" t="s">
        <v>91</v>
      </c>
    </row>
    <row r="66" ht="16.5" hidden="1" spans="1:35">
      <c r="A66" s="2" t="s">
        <v>21</v>
      </c>
      <c r="B66" s="2" t="s">
        <v>73</v>
      </c>
      <c r="C66" s="4">
        <v>356</v>
      </c>
      <c r="D66" s="2" t="s">
        <v>19</v>
      </c>
      <c r="E66" s="4">
        <v>356</v>
      </c>
      <c r="F66" s="4">
        <v>138</v>
      </c>
      <c r="G66" s="4">
        <v>94</v>
      </c>
      <c r="H66" s="4">
        <v>69</v>
      </c>
      <c r="I66" s="4">
        <v>59</v>
      </c>
      <c r="J66" s="4">
        <v>52</v>
      </c>
      <c r="K66" s="4">
        <v>35</v>
      </c>
      <c r="L66" s="4">
        <v>34</v>
      </c>
      <c r="M66" s="4">
        <v>23</v>
      </c>
      <c r="N66" s="4">
        <v>21</v>
      </c>
      <c r="O66" s="4">
        <v>16</v>
      </c>
      <c r="P66" s="4">
        <v>17</v>
      </c>
      <c r="Q66" s="4">
        <v>17</v>
      </c>
      <c r="R66" s="4">
        <v>11</v>
      </c>
      <c r="S66" s="2" t="s">
        <v>91</v>
      </c>
      <c r="T66" s="2" t="s">
        <v>91</v>
      </c>
      <c r="U66" s="2" t="s">
        <v>91</v>
      </c>
      <c r="V66" s="2" t="s">
        <v>91</v>
      </c>
      <c r="W66" s="2" t="s">
        <v>91</v>
      </c>
      <c r="X66" s="2" t="s">
        <v>91</v>
      </c>
      <c r="Y66" s="2" t="s">
        <v>91</v>
      </c>
      <c r="Z66" s="2" t="s">
        <v>91</v>
      </c>
      <c r="AA66" s="2" t="s">
        <v>91</v>
      </c>
      <c r="AB66" s="2" t="s">
        <v>91</v>
      </c>
      <c r="AC66" s="2" t="s">
        <v>91</v>
      </c>
      <c r="AD66" s="2" t="s">
        <v>91</v>
      </c>
      <c r="AE66" s="2" t="s">
        <v>91</v>
      </c>
      <c r="AF66" s="2" t="s">
        <v>91</v>
      </c>
      <c r="AG66" s="2" t="s">
        <v>91</v>
      </c>
      <c r="AH66" s="2" t="s">
        <v>91</v>
      </c>
      <c r="AI66" s="2" t="s">
        <v>91</v>
      </c>
    </row>
    <row r="67" ht="16.5" hidden="1" spans="1:35">
      <c r="A67" s="2" t="s">
        <v>21</v>
      </c>
      <c r="B67" s="2" t="s">
        <v>73</v>
      </c>
      <c r="C67" s="4">
        <v>356</v>
      </c>
      <c r="D67" s="2" t="s">
        <v>74</v>
      </c>
      <c r="E67" s="6">
        <v>1</v>
      </c>
      <c r="F67" s="5">
        <v>0.3876</v>
      </c>
      <c r="G67" s="5">
        <v>0.264</v>
      </c>
      <c r="H67" s="5">
        <v>0.1938</v>
      </c>
      <c r="I67" s="5">
        <v>0.1657</v>
      </c>
      <c r="J67" s="5">
        <v>0.1461</v>
      </c>
      <c r="K67" s="5">
        <v>0.0983</v>
      </c>
      <c r="L67" s="5">
        <v>0.0955</v>
      </c>
      <c r="M67" s="5">
        <v>0.0646</v>
      </c>
      <c r="N67" s="5">
        <v>0.059</v>
      </c>
      <c r="O67" s="5">
        <v>0.0449</v>
      </c>
      <c r="P67" s="5">
        <v>0.0478</v>
      </c>
      <c r="Q67" s="5">
        <v>0.0478</v>
      </c>
      <c r="R67" s="5">
        <v>0.0309</v>
      </c>
      <c r="S67" s="2" t="s">
        <v>91</v>
      </c>
      <c r="T67" s="2" t="s">
        <v>91</v>
      </c>
      <c r="U67" s="2" t="s">
        <v>91</v>
      </c>
      <c r="V67" s="2" t="s">
        <v>91</v>
      </c>
      <c r="W67" s="2" t="s">
        <v>91</v>
      </c>
      <c r="X67" s="2" t="s">
        <v>91</v>
      </c>
      <c r="Y67" s="2" t="s">
        <v>91</v>
      </c>
      <c r="Z67" s="2" t="s">
        <v>91</v>
      </c>
      <c r="AA67" s="2" t="s">
        <v>91</v>
      </c>
      <c r="AB67" s="2" t="s">
        <v>91</v>
      </c>
      <c r="AC67" s="2" t="s">
        <v>91</v>
      </c>
      <c r="AD67" s="2" t="s">
        <v>91</v>
      </c>
      <c r="AE67" s="2" t="s">
        <v>91</v>
      </c>
      <c r="AF67" s="2" t="s">
        <v>91</v>
      </c>
      <c r="AG67" s="2" t="s">
        <v>91</v>
      </c>
      <c r="AH67" s="2" t="s">
        <v>91</v>
      </c>
      <c r="AI67" s="2" t="s">
        <v>91</v>
      </c>
    </row>
    <row r="68" ht="16.5" hidden="1" spans="1:35">
      <c r="A68" s="2" t="s">
        <v>23</v>
      </c>
      <c r="B68" s="2" t="s">
        <v>73</v>
      </c>
      <c r="C68" s="4">
        <v>379</v>
      </c>
      <c r="D68" s="2" t="s">
        <v>19</v>
      </c>
      <c r="E68" s="4">
        <v>379</v>
      </c>
      <c r="F68" s="4">
        <v>144</v>
      </c>
      <c r="G68" s="4">
        <v>91</v>
      </c>
      <c r="H68" s="4">
        <v>77</v>
      </c>
      <c r="I68" s="4">
        <v>59</v>
      </c>
      <c r="J68" s="4">
        <v>47</v>
      </c>
      <c r="K68" s="4">
        <v>33</v>
      </c>
      <c r="L68" s="4">
        <v>33</v>
      </c>
      <c r="M68" s="4">
        <v>30</v>
      </c>
      <c r="N68" s="4">
        <v>25</v>
      </c>
      <c r="O68" s="4">
        <v>20</v>
      </c>
      <c r="P68" s="4">
        <v>23</v>
      </c>
      <c r="Q68" s="4">
        <v>19</v>
      </c>
      <c r="R68" s="2" t="s">
        <v>91</v>
      </c>
      <c r="S68" s="2" t="s">
        <v>91</v>
      </c>
      <c r="T68" s="2" t="s">
        <v>91</v>
      </c>
      <c r="U68" s="2" t="s">
        <v>91</v>
      </c>
      <c r="V68" s="2" t="s">
        <v>91</v>
      </c>
      <c r="W68" s="2" t="s">
        <v>91</v>
      </c>
      <c r="X68" s="2" t="s">
        <v>91</v>
      </c>
      <c r="Y68" s="2" t="s">
        <v>91</v>
      </c>
      <c r="Z68" s="2" t="s">
        <v>91</v>
      </c>
      <c r="AA68" s="2" t="s">
        <v>91</v>
      </c>
      <c r="AB68" s="2" t="s">
        <v>91</v>
      </c>
      <c r="AC68" s="2" t="s">
        <v>91</v>
      </c>
      <c r="AD68" s="2" t="s">
        <v>91</v>
      </c>
      <c r="AE68" s="2" t="s">
        <v>91</v>
      </c>
      <c r="AF68" s="2" t="s">
        <v>91</v>
      </c>
      <c r="AG68" s="2" t="s">
        <v>91</v>
      </c>
      <c r="AH68" s="2" t="s">
        <v>91</v>
      </c>
      <c r="AI68" s="2" t="s">
        <v>91</v>
      </c>
    </row>
    <row r="69" ht="16.5" hidden="1" spans="1:35">
      <c r="A69" s="2" t="s">
        <v>23</v>
      </c>
      <c r="B69" s="2" t="s">
        <v>73</v>
      </c>
      <c r="C69" s="4">
        <v>379</v>
      </c>
      <c r="D69" s="2" t="s">
        <v>74</v>
      </c>
      <c r="E69" s="6">
        <v>1</v>
      </c>
      <c r="F69" s="5">
        <v>0.3799</v>
      </c>
      <c r="G69" s="5">
        <v>0.2401</v>
      </c>
      <c r="H69" s="5">
        <v>0.2032</v>
      </c>
      <c r="I69" s="5">
        <v>0.1557</v>
      </c>
      <c r="J69" s="5">
        <v>0.124</v>
      </c>
      <c r="K69" s="5">
        <v>0.0871</v>
      </c>
      <c r="L69" s="5">
        <v>0.0871</v>
      </c>
      <c r="M69" s="5">
        <v>0.0792</v>
      </c>
      <c r="N69" s="5">
        <v>0.066</v>
      </c>
      <c r="O69" s="5">
        <v>0.0528</v>
      </c>
      <c r="P69" s="5">
        <v>0.0607</v>
      </c>
      <c r="Q69" s="5">
        <v>0.0501</v>
      </c>
      <c r="R69" s="2" t="s">
        <v>91</v>
      </c>
      <c r="S69" s="2" t="s">
        <v>91</v>
      </c>
      <c r="T69" s="2" t="s">
        <v>91</v>
      </c>
      <c r="U69" s="2" t="s">
        <v>91</v>
      </c>
      <c r="V69" s="2" t="s">
        <v>91</v>
      </c>
      <c r="W69" s="2" t="s">
        <v>91</v>
      </c>
      <c r="X69" s="2" t="s">
        <v>91</v>
      </c>
      <c r="Y69" s="2" t="s">
        <v>91</v>
      </c>
      <c r="Z69" s="2" t="s">
        <v>91</v>
      </c>
      <c r="AA69" s="2" t="s">
        <v>91</v>
      </c>
      <c r="AB69" s="2" t="s">
        <v>91</v>
      </c>
      <c r="AC69" s="2" t="s">
        <v>91</v>
      </c>
      <c r="AD69" s="2" t="s">
        <v>91</v>
      </c>
      <c r="AE69" s="2" t="s">
        <v>91</v>
      </c>
      <c r="AF69" s="2" t="s">
        <v>91</v>
      </c>
      <c r="AG69" s="2" t="s">
        <v>91</v>
      </c>
      <c r="AH69" s="2" t="s">
        <v>91</v>
      </c>
      <c r="AI69" s="2" t="s">
        <v>91</v>
      </c>
    </row>
    <row r="70" ht="16.5" hidden="1" spans="1:35">
      <c r="A70" s="2" t="s">
        <v>24</v>
      </c>
      <c r="B70" s="2" t="s">
        <v>73</v>
      </c>
      <c r="C70" s="4">
        <v>426</v>
      </c>
      <c r="D70" s="2" t="s">
        <v>19</v>
      </c>
      <c r="E70" s="4">
        <v>425</v>
      </c>
      <c r="F70" s="4">
        <v>133</v>
      </c>
      <c r="G70" s="4">
        <v>72</v>
      </c>
      <c r="H70" s="4">
        <v>61</v>
      </c>
      <c r="I70" s="4">
        <v>45</v>
      </c>
      <c r="J70" s="4">
        <v>34</v>
      </c>
      <c r="K70" s="4">
        <v>35</v>
      </c>
      <c r="L70" s="4">
        <v>21</v>
      </c>
      <c r="M70" s="4">
        <v>26</v>
      </c>
      <c r="N70" s="4">
        <v>24</v>
      </c>
      <c r="O70" s="4">
        <v>20</v>
      </c>
      <c r="P70" s="4">
        <v>10</v>
      </c>
      <c r="Q70" s="2" t="s">
        <v>91</v>
      </c>
      <c r="R70" s="2" t="s">
        <v>91</v>
      </c>
      <c r="S70" s="2" t="s">
        <v>91</v>
      </c>
      <c r="T70" s="2" t="s">
        <v>91</v>
      </c>
      <c r="U70" s="2" t="s">
        <v>91</v>
      </c>
      <c r="V70" s="2" t="s">
        <v>91</v>
      </c>
      <c r="W70" s="2" t="s">
        <v>91</v>
      </c>
      <c r="X70" s="2" t="s">
        <v>91</v>
      </c>
      <c r="Y70" s="2" t="s">
        <v>91</v>
      </c>
      <c r="Z70" s="2" t="s">
        <v>91</v>
      </c>
      <c r="AA70" s="2" t="s">
        <v>91</v>
      </c>
      <c r="AB70" s="2" t="s">
        <v>91</v>
      </c>
      <c r="AC70" s="2" t="s">
        <v>91</v>
      </c>
      <c r="AD70" s="2" t="s">
        <v>91</v>
      </c>
      <c r="AE70" s="2" t="s">
        <v>91</v>
      </c>
      <c r="AF70" s="2" t="s">
        <v>91</v>
      </c>
      <c r="AG70" s="2" t="s">
        <v>91</v>
      </c>
      <c r="AH70" s="2" t="s">
        <v>91</v>
      </c>
      <c r="AI70" s="2" t="s">
        <v>91</v>
      </c>
    </row>
    <row r="71" ht="16.5" hidden="1" spans="1:35">
      <c r="A71" s="2" t="s">
        <v>24</v>
      </c>
      <c r="B71" s="2" t="s">
        <v>73</v>
      </c>
      <c r="C71" s="4">
        <v>426</v>
      </c>
      <c r="D71" s="2" t="s">
        <v>74</v>
      </c>
      <c r="E71" s="5">
        <v>0.9977</v>
      </c>
      <c r="F71" s="5">
        <v>0.3122</v>
      </c>
      <c r="G71" s="5">
        <v>0.169</v>
      </c>
      <c r="H71" s="5">
        <v>0.1432</v>
      </c>
      <c r="I71" s="5">
        <v>0.1056</v>
      </c>
      <c r="J71" s="5">
        <v>0.0798</v>
      </c>
      <c r="K71" s="5">
        <v>0.0822</v>
      </c>
      <c r="L71" s="5">
        <v>0.0493</v>
      </c>
      <c r="M71" s="5">
        <v>0.061</v>
      </c>
      <c r="N71" s="5">
        <v>0.0563</v>
      </c>
      <c r="O71" s="5">
        <v>0.0469</v>
      </c>
      <c r="P71" s="5">
        <v>0.0235</v>
      </c>
      <c r="Q71" s="2" t="s">
        <v>91</v>
      </c>
      <c r="R71" s="2" t="s">
        <v>91</v>
      </c>
      <c r="S71" s="2" t="s">
        <v>91</v>
      </c>
      <c r="T71" s="2" t="s">
        <v>91</v>
      </c>
      <c r="U71" s="2" t="s">
        <v>91</v>
      </c>
      <c r="V71" s="2" t="s">
        <v>91</v>
      </c>
      <c r="W71" s="2" t="s">
        <v>91</v>
      </c>
      <c r="X71" s="2" t="s">
        <v>91</v>
      </c>
      <c r="Y71" s="2" t="s">
        <v>91</v>
      </c>
      <c r="Z71" s="2" t="s">
        <v>91</v>
      </c>
      <c r="AA71" s="2" t="s">
        <v>91</v>
      </c>
      <c r="AB71" s="2" t="s">
        <v>91</v>
      </c>
      <c r="AC71" s="2" t="s">
        <v>91</v>
      </c>
      <c r="AD71" s="2" t="s">
        <v>91</v>
      </c>
      <c r="AE71" s="2" t="s">
        <v>91</v>
      </c>
      <c r="AF71" s="2" t="s">
        <v>91</v>
      </c>
      <c r="AG71" s="2" t="s">
        <v>91</v>
      </c>
      <c r="AH71" s="2" t="s">
        <v>91</v>
      </c>
      <c r="AI71" s="2" t="s">
        <v>91</v>
      </c>
    </row>
    <row r="72" ht="16.5" hidden="1" spans="1:35">
      <c r="A72" s="2" t="s">
        <v>26</v>
      </c>
      <c r="B72" s="2" t="s">
        <v>73</v>
      </c>
      <c r="C72" s="4">
        <v>590</v>
      </c>
      <c r="D72" s="2" t="s">
        <v>19</v>
      </c>
      <c r="E72" s="4">
        <v>588</v>
      </c>
      <c r="F72" s="4">
        <v>229</v>
      </c>
      <c r="G72" s="4">
        <v>118</v>
      </c>
      <c r="H72" s="4">
        <v>83</v>
      </c>
      <c r="I72" s="4">
        <v>66</v>
      </c>
      <c r="J72" s="4">
        <v>55</v>
      </c>
      <c r="K72" s="4">
        <v>61</v>
      </c>
      <c r="L72" s="4">
        <v>47</v>
      </c>
      <c r="M72" s="4">
        <v>49</v>
      </c>
      <c r="N72" s="4">
        <v>33</v>
      </c>
      <c r="O72" s="4">
        <v>22</v>
      </c>
      <c r="P72" s="2" t="s">
        <v>91</v>
      </c>
      <c r="Q72" s="2" t="s">
        <v>91</v>
      </c>
      <c r="R72" s="2" t="s">
        <v>91</v>
      </c>
      <c r="S72" s="2" t="s">
        <v>91</v>
      </c>
      <c r="T72" s="2" t="s">
        <v>91</v>
      </c>
      <c r="U72" s="2" t="s">
        <v>91</v>
      </c>
      <c r="V72" s="2" t="s">
        <v>91</v>
      </c>
      <c r="W72" s="2" t="s">
        <v>91</v>
      </c>
      <c r="X72" s="2" t="s">
        <v>91</v>
      </c>
      <c r="Y72" s="2" t="s">
        <v>91</v>
      </c>
      <c r="Z72" s="2" t="s">
        <v>91</v>
      </c>
      <c r="AA72" s="2" t="s">
        <v>91</v>
      </c>
      <c r="AB72" s="2" t="s">
        <v>91</v>
      </c>
      <c r="AC72" s="2" t="s">
        <v>91</v>
      </c>
      <c r="AD72" s="2" t="s">
        <v>91</v>
      </c>
      <c r="AE72" s="2" t="s">
        <v>91</v>
      </c>
      <c r="AF72" s="2" t="s">
        <v>91</v>
      </c>
      <c r="AG72" s="2" t="s">
        <v>91</v>
      </c>
      <c r="AH72" s="2" t="s">
        <v>91</v>
      </c>
      <c r="AI72" s="2" t="s">
        <v>91</v>
      </c>
    </row>
    <row r="73" ht="16.5" hidden="1" spans="1:35">
      <c r="A73" s="2" t="s">
        <v>26</v>
      </c>
      <c r="B73" s="2" t="s">
        <v>73</v>
      </c>
      <c r="C73" s="4">
        <v>590</v>
      </c>
      <c r="D73" s="2" t="s">
        <v>74</v>
      </c>
      <c r="E73" s="5">
        <v>0.9966</v>
      </c>
      <c r="F73" s="5">
        <v>0.3881</v>
      </c>
      <c r="G73" s="6">
        <v>0.2</v>
      </c>
      <c r="H73" s="5">
        <v>0.1407</v>
      </c>
      <c r="I73" s="5">
        <v>0.1119</v>
      </c>
      <c r="J73" s="5">
        <v>0.0932</v>
      </c>
      <c r="K73" s="5">
        <v>0.1034</v>
      </c>
      <c r="L73" s="5">
        <v>0.0797</v>
      </c>
      <c r="M73" s="5">
        <v>0.0831</v>
      </c>
      <c r="N73" s="5">
        <v>0.0559</v>
      </c>
      <c r="O73" s="5">
        <v>0.0373</v>
      </c>
      <c r="P73" s="2" t="s">
        <v>91</v>
      </c>
      <c r="Q73" s="2" t="s">
        <v>91</v>
      </c>
      <c r="R73" s="2" t="s">
        <v>91</v>
      </c>
      <c r="S73" s="2" t="s">
        <v>91</v>
      </c>
      <c r="T73" s="2" t="s">
        <v>91</v>
      </c>
      <c r="U73" s="2" t="s">
        <v>91</v>
      </c>
      <c r="V73" s="2" t="s">
        <v>91</v>
      </c>
      <c r="W73" s="2" t="s">
        <v>91</v>
      </c>
      <c r="X73" s="2" t="s">
        <v>91</v>
      </c>
      <c r="Y73" s="2" t="s">
        <v>91</v>
      </c>
      <c r="Z73" s="2" t="s">
        <v>91</v>
      </c>
      <c r="AA73" s="2" t="s">
        <v>91</v>
      </c>
      <c r="AB73" s="2" t="s">
        <v>91</v>
      </c>
      <c r="AC73" s="2" t="s">
        <v>91</v>
      </c>
      <c r="AD73" s="2" t="s">
        <v>91</v>
      </c>
      <c r="AE73" s="2" t="s">
        <v>91</v>
      </c>
      <c r="AF73" s="2" t="s">
        <v>91</v>
      </c>
      <c r="AG73" s="2" t="s">
        <v>91</v>
      </c>
      <c r="AH73" s="2" t="s">
        <v>91</v>
      </c>
      <c r="AI73" s="2" t="s">
        <v>91</v>
      </c>
    </row>
    <row r="74" ht="16.5" hidden="1" spans="1:35">
      <c r="A74" s="2" t="s">
        <v>28</v>
      </c>
      <c r="B74" s="2" t="s">
        <v>73</v>
      </c>
      <c r="C74" s="4">
        <v>385</v>
      </c>
      <c r="D74" s="2" t="s">
        <v>19</v>
      </c>
      <c r="E74" s="4">
        <v>385</v>
      </c>
      <c r="F74" s="4">
        <v>134</v>
      </c>
      <c r="G74" s="4">
        <v>88</v>
      </c>
      <c r="H74" s="4">
        <v>62</v>
      </c>
      <c r="I74" s="4">
        <v>50</v>
      </c>
      <c r="J74" s="4">
        <v>36</v>
      </c>
      <c r="K74" s="4">
        <v>41</v>
      </c>
      <c r="L74" s="4">
        <v>26</v>
      </c>
      <c r="M74" s="4">
        <v>24</v>
      </c>
      <c r="N74" s="4">
        <v>15</v>
      </c>
      <c r="O74" s="2" t="s">
        <v>91</v>
      </c>
      <c r="P74" s="2" t="s">
        <v>91</v>
      </c>
      <c r="Q74" s="2" t="s">
        <v>91</v>
      </c>
      <c r="R74" s="2" t="s">
        <v>91</v>
      </c>
      <c r="S74" s="2" t="s">
        <v>91</v>
      </c>
      <c r="T74" s="2" t="s">
        <v>91</v>
      </c>
      <c r="U74" s="2" t="s">
        <v>91</v>
      </c>
      <c r="V74" s="2" t="s">
        <v>91</v>
      </c>
      <c r="W74" s="2" t="s">
        <v>91</v>
      </c>
      <c r="X74" s="2" t="s">
        <v>91</v>
      </c>
      <c r="Y74" s="2" t="s">
        <v>91</v>
      </c>
      <c r="Z74" s="2" t="s">
        <v>91</v>
      </c>
      <c r="AA74" s="2" t="s">
        <v>91</v>
      </c>
      <c r="AB74" s="2" t="s">
        <v>91</v>
      </c>
      <c r="AC74" s="2" t="s">
        <v>91</v>
      </c>
      <c r="AD74" s="2" t="s">
        <v>91</v>
      </c>
      <c r="AE74" s="2" t="s">
        <v>91</v>
      </c>
      <c r="AF74" s="2" t="s">
        <v>91</v>
      </c>
      <c r="AG74" s="2" t="s">
        <v>91</v>
      </c>
      <c r="AH74" s="2" t="s">
        <v>91</v>
      </c>
      <c r="AI74" s="2" t="s">
        <v>91</v>
      </c>
    </row>
    <row r="75" ht="16.5" hidden="1" spans="1:35">
      <c r="A75" s="2" t="s">
        <v>28</v>
      </c>
      <c r="B75" s="2" t="s">
        <v>73</v>
      </c>
      <c r="C75" s="4">
        <v>385</v>
      </c>
      <c r="D75" s="2" t="s">
        <v>74</v>
      </c>
      <c r="E75" s="6">
        <v>1</v>
      </c>
      <c r="F75" s="5">
        <v>0.3481</v>
      </c>
      <c r="G75" s="5">
        <v>0.2286</v>
      </c>
      <c r="H75" s="5">
        <v>0.161</v>
      </c>
      <c r="I75" s="5">
        <v>0.1299</v>
      </c>
      <c r="J75" s="5">
        <v>0.0935</v>
      </c>
      <c r="K75" s="5">
        <v>0.1065</v>
      </c>
      <c r="L75" s="5">
        <v>0.0675</v>
      </c>
      <c r="M75" s="5">
        <v>0.0623</v>
      </c>
      <c r="N75" s="5">
        <v>0.039</v>
      </c>
      <c r="O75" s="2" t="s">
        <v>91</v>
      </c>
      <c r="P75" s="2" t="s">
        <v>91</v>
      </c>
      <c r="Q75" s="2" t="s">
        <v>91</v>
      </c>
      <c r="R75" s="2" t="s">
        <v>91</v>
      </c>
      <c r="S75" s="2" t="s">
        <v>91</v>
      </c>
      <c r="T75" s="2" t="s">
        <v>91</v>
      </c>
      <c r="U75" s="2" t="s">
        <v>91</v>
      </c>
      <c r="V75" s="2" t="s">
        <v>91</v>
      </c>
      <c r="W75" s="2" t="s">
        <v>91</v>
      </c>
      <c r="X75" s="2" t="s">
        <v>91</v>
      </c>
      <c r="Y75" s="2" t="s">
        <v>91</v>
      </c>
      <c r="Z75" s="2" t="s">
        <v>91</v>
      </c>
      <c r="AA75" s="2" t="s">
        <v>91</v>
      </c>
      <c r="AB75" s="2" t="s">
        <v>91</v>
      </c>
      <c r="AC75" s="2" t="s">
        <v>91</v>
      </c>
      <c r="AD75" s="2" t="s">
        <v>91</v>
      </c>
      <c r="AE75" s="2" t="s">
        <v>91</v>
      </c>
      <c r="AF75" s="2" t="s">
        <v>91</v>
      </c>
      <c r="AG75" s="2" t="s">
        <v>91</v>
      </c>
      <c r="AH75" s="2" t="s">
        <v>91</v>
      </c>
      <c r="AI75" s="2" t="s">
        <v>91</v>
      </c>
    </row>
    <row r="76" ht="16.5" hidden="1" spans="1:35">
      <c r="A76" s="2" t="s">
        <v>30</v>
      </c>
      <c r="B76" s="2" t="s">
        <v>73</v>
      </c>
      <c r="C76" s="4">
        <v>341</v>
      </c>
      <c r="D76" s="2" t="s">
        <v>19</v>
      </c>
      <c r="E76" s="4">
        <v>341</v>
      </c>
      <c r="F76" s="4">
        <v>144</v>
      </c>
      <c r="G76" s="4">
        <v>81</v>
      </c>
      <c r="H76" s="4">
        <v>63</v>
      </c>
      <c r="I76" s="4">
        <v>45</v>
      </c>
      <c r="J76" s="4">
        <v>40</v>
      </c>
      <c r="K76" s="4">
        <v>34</v>
      </c>
      <c r="L76" s="4">
        <v>29</v>
      </c>
      <c r="M76" s="4">
        <v>23</v>
      </c>
      <c r="N76" s="2" t="s">
        <v>91</v>
      </c>
      <c r="O76" s="2" t="s">
        <v>91</v>
      </c>
      <c r="P76" s="2" t="s">
        <v>91</v>
      </c>
      <c r="Q76" s="2" t="s">
        <v>91</v>
      </c>
      <c r="R76" s="2" t="s">
        <v>91</v>
      </c>
      <c r="S76" s="2" t="s">
        <v>91</v>
      </c>
      <c r="T76" s="2" t="s">
        <v>91</v>
      </c>
      <c r="U76" s="2" t="s">
        <v>91</v>
      </c>
      <c r="V76" s="2" t="s">
        <v>91</v>
      </c>
      <c r="W76" s="2" t="s">
        <v>91</v>
      </c>
      <c r="X76" s="2" t="s">
        <v>91</v>
      </c>
      <c r="Y76" s="2" t="s">
        <v>91</v>
      </c>
      <c r="Z76" s="2" t="s">
        <v>91</v>
      </c>
      <c r="AA76" s="2" t="s">
        <v>91</v>
      </c>
      <c r="AB76" s="2" t="s">
        <v>91</v>
      </c>
      <c r="AC76" s="2" t="s">
        <v>91</v>
      </c>
      <c r="AD76" s="2" t="s">
        <v>91</v>
      </c>
      <c r="AE76" s="2" t="s">
        <v>91</v>
      </c>
      <c r="AF76" s="2" t="s">
        <v>91</v>
      </c>
      <c r="AG76" s="2" t="s">
        <v>91</v>
      </c>
      <c r="AH76" s="2" t="s">
        <v>91</v>
      </c>
      <c r="AI76" s="2" t="s">
        <v>91</v>
      </c>
    </row>
    <row r="77" ht="16.5" hidden="1" spans="1:35">
      <c r="A77" s="2" t="s">
        <v>30</v>
      </c>
      <c r="B77" s="2" t="s">
        <v>73</v>
      </c>
      <c r="C77" s="4">
        <v>341</v>
      </c>
      <c r="D77" s="2" t="s">
        <v>74</v>
      </c>
      <c r="E77" s="6">
        <v>1</v>
      </c>
      <c r="F77" s="5">
        <v>0.4223</v>
      </c>
      <c r="G77" s="5">
        <v>0.2375</v>
      </c>
      <c r="H77" s="5">
        <v>0.1848</v>
      </c>
      <c r="I77" s="5">
        <v>0.132</v>
      </c>
      <c r="J77" s="5">
        <v>0.1173</v>
      </c>
      <c r="K77" s="5">
        <v>0.0997</v>
      </c>
      <c r="L77" s="5">
        <v>0.085</v>
      </c>
      <c r="M77" s="5">
        <v>0.0674</v>
      </c>
      <c r="N77" s="2" t="s">
        <v>91</v>
      </c>
      <c r="O77" s="2" t="s">
        <v>91</v>
      </c>
      <c r="P77" s="2" t="s">
        <v>91</v>
      </c>
      <c r="Q77" s="2" t="s">
        <v>91</v>
      </c>
      <c r="R77" s="2" t="s">
        <v>91</v>
      </c>
      <c r="S77" s="2" t="s">
        <v>91</v>
      </c>
      <c r="T77" s="2" t="s">
        <v>91</v>
      </c>
      <c r="U77" s="2" t="s">
        <v>91</v>
      </c>
      <c r="V77" s="2" t="s">
        <v>91</v>
      </c>
      <c r="W77" s="2" t="s">
        <v>91</v>
      </c>
      <c r="X77" s="2" t="s">
        <v>91</v>
      </c>
      <c r="Y77" s="2" t="s">
        <v>91</v>
      </c>
      <c r="Z77" s="2" t="s">
        <v>91</v>
      </c>
      <c r="AA77" s="2" t="s">
        <v>91</v>
      </c>
      <c r="AB77" s="2" t="s">
        <v>91</v>
      </c>
      <c r="AC77" s="2" t="s">
        <v>91</v>
      </c>
      <c r="AD77" s="2" t="s">
        <v>91</v>
      </c>
      <c r="AE77" s="2" t="s">
        <v>91</v>
      </c>
      <c r="AF77" s="2" t="s">
        <v>91</v>
      </c>
      <c r="AG77" s="2" t="s">
        <v>91</v>
      </c>
      <c r="AH77" s="2" t="s">
        <v>91</v>
      </c>
      <c r="AI77" s="2" t="s">
        <v>91</v>
      </c>
    </row>
    <row r="78" ht="16.5" hidden="1" spans="1:35">
      <c r="A78" s="2" t="s">
        <v>32</v>
      </c>
      <c r="B78" s="2" t="s">
        <v>73</v>
      </c>
      <c r="C78" s="4">
        <v>391</v>
      </c>
      <c r="D78" s="2" t="s">
        <v>19</v>
      </c>
      <c r="E78" s="4">
        <v>391</v>
      </c>
      <c r="F78" s="4">
        <v>151</v>
      </c>
      <c r="G78" s="4">
        <v>94</v>
      </c>
      <c r="H78" s="4">
        <v>64</v>
      </c>
      <c r="I78" s="4">
        <v>52</v>
      </c>
      <c r="J78" s="4">
        <v>43</v>
      </c>
      <c r="K78" s="4">
        <v>31</v>
      </c>
      <c r="L78" s="4">
        <v>33</v>
      </c>
      <c r="M78" s="2" t="s">
        <v>91</v>
      </c>
      <c r="N78" s="2" t="s">
        <v>91</v>
      </c>
      <c r="O78" s="2" t="s">
        <v>91</v>
      </c>
      <c r="P78" s="2" t="s">
        <v>91</v>
      </c>
      <c r="Q78" s="2" t="s">
        <v>91</v>
      </c>
      <c r="R78" s="2" t="s">
        <v>91</v>
      </c>
      <c r="S78" s="2" t="s">
        <v>91</v>
      </c>
      <c r="T78" s="2" t="s">
        <v>91</v>
      </c>
      <c r="U78" s="2" t="s">
        <v>91</v>
      </c>
      <c r="V78" s="2" t="s">
        <v>91</v>
      </c>
      <c r="W78" s="2" t="s">
        <v>91</v>
      </c>
      <c r="X78" s="2" t="s">
        <v>91</v>
      </c>
      <c r="Y78" s="2" t="s">
        <v>91</v>
      </c>
      <c r="Z78" s="2" t="s">
        <v>91</v>
      </c>
      <c r="AA78" s="2" t="s">
        <v>91</v>
      </c>
      <c r="AB78" s="2" t="s">
        <v>91</v>
      </c>
      <c r="AC78" s="2" t="s">
        <v>91</v>
      </c>
      <c r="AD78" s="2" t="s">
        <v>91</v>
      </c>
      <c r="AE78" s="2" t="s">
        <v>91</v>
      </c>
      <c r="AF78" s="2" t="s">
        <v>91</v>
      </c>
      <c r="AG78" s="2" t="s">
        <v>91</v>
      </c>
      <c r="AH78" s="2" t="s">
        <v>91</v>
      </c>
      <c r="AI78" s="2" t="s">
        <v>91</v>
      </c>
    </row>
    <row r="79" ht="16.5" hidden="1" spans="1:35">
      <c r="A79" s="2" t="s">
        <v>32</v>
      </c>
      <c r="B79" s="2" t="s">
        <v>73</v>
      </c>
      <c r="C79" s="4">
        <v>391</v>
      </c>
      <c r="D79" s="2" t="s">
        <v>74</v>
      </c>
      <c r="E79" s="6">
        <v>1</v>
      </c>
      <c r="F79" s="5">
        <v>0.3862</v>
      </c>
      <c r="G79" s="5">
        <v>0.2404</v>
      </c>
      <c r="H79" s="5">
        <v>0.1637</v>
      </c>
      <c r="I79" s="5">
        <v>0.133</v>
      </c>
      <c r="J79" s="6">
        <v>0.11</v>
      </c>
      <c r="K79" s="5">
        <v>0.0793</v>
      </c>
      <c r="L79" s="5">
        <v>0.0844</v>
      </c>
      <c r="M79" s="2" t="s">
        <v>91</v>
      </c>
      <c r="N79" s="2" t="s">
        <v>91</v>
      </c>
      <c r="O79" s="2" t="s">
        <v>91</v>
      </c>
      <c r="P79" s="2" t="s">
        <v>91</v>
      </c>
      <c r="Q79" s="2" t="s">
        <v>91</v>
      </c>
      <c r="R79" s="2" t="s">
        <v>91</v>
      </c>
      <c r="S79" s="2" t="s">
        <v>91</v>
      </c>
      <c r="T79" s="2" t="s">
        <v>91</v>
      </c>
      <c r="U79" s="2" t="s">
        <v>91</v>
      </c>
      <c r="V79" s="2" t="s">
        <v>91</v>
      </c>
      <c r="W79" s="2" t="s">
        <v>91</v>
      </c>
      <c r="X79" s="2" t="s">
        <v>91</v>
      </c>
      <c r="Y79" s="2" t="s">
        <v>91</v>
      </c>
      <c r="Z79" s="2" t="s">
        <v>91</v>
      </c>
      <c r="AA79" s="2" t="s">
        <v>91</v>
      </c>
      <c r="AB79" s="2" t="s">
        <v>91</v>
      </c>
      <c r="AC79" s="2" t="s">
        <v>91</v>
      </c>
      <c r="AD79" s="2" t="s">
        <v>91</v>
      </c>
      <c r="AE79" s="2" t="s">
        <v>91</v>
      </c>
      <c r="AF79" s="2" t="s">
        <v>91</v>
      </c>
      <c r="AG79" s="2" t="s">
        <v>91</v>
      </c>
      <c r="AH79" s="2" t="s">
        <v>91</v>
      </c>
      <c r="AI79" s="2" t="s">
        <v>91</v>
      </c>
    </row>
    <row r="80" ht="16.5" hidden="1" spans="1:35">
      <c r="A80" s="2" t="s">
        <v>98</v>
      </c>
      <c r="B80" s="2" t="s">
        <v>73</v>
      </c>
      <c r="C80" s="4">
        <v>278</v>
      </c>
      <c r="D80" s="2" t="s">
        <v>19</v>
      </c>
      <c r="E80" s="4">
        <v>278</v>
      </c>
      <c r="F80" s="4">
        <v>102</v>
      </c>
      <c r="G80" s="4">
        <v>63</v>
      </c>
      <c r="H80" s="4">
        <v>46</v>
      </c>
      <c r="I80" s="4">
        <v>33</v>
      </c>
      <c r="J80" s="4">
        <v>31</v>
      </c>
      <c r="K80" s="4">
        <v>18</v>
      </c>
      <c r="L80" s="2" t="s">
        <v>91</v>
      </c>
      <c r="M80" s="2" t="s">
        <v>91</v>
      </c>
      <c r="N80" s="2" t="s">
        <v>91</v>
      </c>
      <c r="O80" s="2" t="s">
        <v>91</v>
      </c>
      <c r="P80" s="2" t="s">
        <v>91</v>
      </c>
      <c r="Q80" s="2" t="s">
        <v>91</v>
      </c>
      <c r="R80" s="2" t="s">
        <v>91</v>
      </c>
      <c r="S80" s="2" t="s">
        <v>91</v>
      </c>
      <c r="T80" s="2" t="s">
        <v>91</v>
      </c>
      <c r="U80" s="2" t="s">
        <v>91</v>
      </c>
      <c r="V80" s="2" t="s">
        <v>91</v>
      </c>
      <c r="W80" s="2" t="s">
        <v>91</v>
      </c>
      <c r="X80" s="2" t="s">
        <v>91</v>
      </c>
      <c r="Y80" s="2" t="s">
        <v>91</v>
      </c>
      <c r="Z80" s="2" t="s">
        <v>91</v>
      </c>
      <c r="AA80" s="2" t="s">
        <v>91</v>
      </c>
      <c r="AB80" s="2" t="s">
        <v>91</v>
      </c>
      <c r="AC80" s="2" t="s">
        <v>91</v>
      </c>
      <c r="AD80" s="2" t="s">
        <v>91</v>
      </c>
      <c r="AE80" s="2" t="s">
        <v>91</v>
      </c>
      <c r="AF80" s="2" t="s">
        <v>91</v>
      </c>
      <c r="AG80" s="2" t="s">
        <v>91</v>
      </c>
      <c r="AH80" s="2" t="s">
        <v>91</v>
      </c>
      <c r="AI80" s="2" t="s">
        <v>91</v>
      </c>
    </row>
    <row r="81" ht="16.5" hidden="1" spans="1:35">
      <c r="A81" s="2" t="s">
        <v>98</v>
      </c>
      <c r="B81" s="2" t="s">
        <v>73</v>
      </c>
      <c r="C81" s="4">
        <v>278</v>
      </c>
      <c r="D81" s="2" t="s">
        <v>74</v>
      </c>
      <c r="E81" s="6">
        <v>1</v>
      </c>
      <c r="F81" s="5">
        <v>0.3669</v>
      </c>
      <c r="G81" s="5">
        <v>0.2266</v>
      </c>
      <c r="H81" s="5">
        <v>0.1655</v>
      </c>
      <c r="I81" s="5">
        <v>0.1187</v>
      </c>
      <c r="J81" s="5">
        <v>0.1115</v>
      </c>
      <c r="K81" s="5">
        <v>0.0647</v>
      </c>
      <c r="L81" s="2" t="s">
        <v>91</v>
      </c>
      <c r="M81" s="2" t="s">
        <v>91</v>
      </c>
      <c r="N81" s="2" t="s">
        <v>91</v>
      </c>
      <c r="O81" s="2" t="s">
        <v>91</v>
      </c>
      <c r="P81" s="2" t="s">
        <v>91</v>
      </c>
      <c r="Q81" s="2" t="s">
        <v>91</v>
      </c>
      <c r="R81" s="2" t="s">
        <v>91</v>
      </c>
      <c r="S81" s="2" t="s">
        <v>91</v>
      </c>
      <c r="T81" s="2" t="s">
        <v>91</v>
      </c>
      <c r="U81" s="2" t="s">
        <v>91</v>
      </c>
      <c r="V81" s="2" t="s">
        <v>91</v>
      </c>
      <c r="W81" s="2" t="s">
        <v>91</v>
      </c>
      <c r="X81" s="2" t="s">
        <v>91</v>
      </c>
      <c r="Y81" s="2" t="s">
        <v>91</v>
      </c>
      <c r="Z81" s="2" t="s">
        <v>91</v>
      </c>
      <c r="AA81" s="2" t="s">
        <v>91</v>
      </c>
      <c r="AB81" s="2" t="s">
        <v>91</v>
      </c>
      <c r="AC81" s="2" t="s">
        <v>91</v>
      </c>
      <c r="AD81" s="2" t="s">
        <v>91</v>
      </c>
      <c r="AE81" s="2" t="s">
        <v>91</v>
      </c>
      <c r="AF81" s="2" t="s">
        <v>91</v>
      </c>
      <c r="AG81" s="2" t="s">
        <v>91</v>
      </c>
      <c r="AH81" s="2" t="s">
        <v>91</v>
      </c>
      <c r="AI81" s="2" t="s">
        <v>91</v>
      </c>
    </row>
    <row r="82" ht="16.5" hidden="1" spans="1:35">
      <c r="A82" s="2" t="s">
        <v>99</v>
      </c>
      <c r="B82" s="2" t="s">
        <v>73</v>
      </c>
      <c r="C82" s="4">
        <v>285</v>
      </c>
      <c r="D82" s="2" t="s">
        <v>19</v>
      </c>
      <c r="E82" s="4">
        <v>285</v>
      </c>
      <c r="F82" s="4">
        <v>104</v>
      </c>
      <c r="G82" s="4">
        <v>69</v>
      </c>
      <c r="H82" s="4">
        <v>53</v>
      </c>
      <c r="I82" s="4">
        <v>45</v>
      </c>
      <c r="J82" s="4">
        <v>30</v>
      </c>
      <c r="K82" s="2" t="s">
        <v>91</v>
      </c>
      <c r="L82" s="2" t="s">
        <v>91</v>
      </c>
      <c r="M82" s="2" t="s">
        <v>91</v>
      </c>
      <c r="N82" s="2" t="s">
        <v>91</v>
      </c>
      <c r="O82" s="2" t="s">
        <v>91</v>
      </c>
      <c r="P82" s="2" t="s">
        <v>91</v>
      </c>
      <c r="Q82" s="2" t="s">
        <v>91</v>
      </c>
      <c r="R82" s="2" t="s">
        <v>91</v>
      </c>
      <c r="S82" s="2" t="s">
        <v>91</v>
      </c>
      <c r="T82" s="2" t="s">
        <v>91</v>
      </c>
      <c r="U82" s="2" t="s">
        <v>91</v>
      </c>
      <c r="V82" s="2" t="s">
        <v>91</v>
      </c>
      <c r="W82" s="2" t="s">
        <v>91</v>
      </c>
      <c r="X82" s="2" t="s">
        <v>91</v>
      </c>
      <c r="Y82" s="2" t="s">
        <v>91</v>
      </c>
      <c r="Z82" s="2" t="s">
        <v>91</v>
      </c>
      <c r="AA82" s="2" t="s">
        <v>91</v>
      </c>
      <c r="AB82" s="2" t="s">
        <v>91</v>
      </c>
      <c r="AC82" s="2" t="s">
        <v>91</v>
      </c>
      <c r="AD82" s="2" t="s">
        <v>91</v>
      </c>
      <c r="AE82" s="2" t="s">
        <v>91</v>
      </c>
      <c r="AF82" s="2" t="s">
        <v>91</v>
      </c>
      <c r="AG82" s="2" t="s">
        <v>91</v>
      </c>
      <c r="AH82" s="2" t="s">
        <v>91</v>
      </c>
      <c r="AI82" s="2" t="s">
        <v>91</v>
      </c>
    </row>
    <row r="83" ht="16.5" hidden="1" spans="1:35">
      <c r="A83" s="2" t="s">
        <v>99</v>
      </c>
      <c r="B83" s="2" t="s">
        <v>73</v>
      </c>
      <c r="C83" s="4">
        <v>285</v>
      </c>
      <c r="D83" s="2" t="s">
        <v>74</v>
      </c>
      <c r="E83" s="6">
        <v>1</v>
      </c>
      <c r="F83" s="5">
        <v>0.3649</v>
      </c>
      <c r="G83" s="5">
        <v>0.2421</v>
      </c>
      <c r="H83" s="5">
        <v>0.186</v>
      </c>
      <c r="I83" s="5">
        <v>0.1579</v>
      </c>
      <c r="J83" s="5">
        <v>0.1053</v>
      </c>
      <c r="K83" s="2" t="s">
        <v>91</v>
      </c>
      <c r="L83" s="2" t="s">
        <v>91</v>
      </c>
      <c r="M83" s="2" t="s">
        <v>91</v>
      </c>
      <c r="N83" s="2" t="s">
        <v>91</v>
      </c>
      <c r="O83" s="2" t="s">
        <v>91</v>
      </c>
      <c r="P83" s="2" t="s">
        <v>91</v>
      </c>
      <c r="Q83" s="2" t="s">
        <v>91</v>
      </c>
      <c r="R83" s="2" t="s">
        <v>91</v>
      </c>
      <c r="S83" s="2" t="s">
        <v>91</v>
      </c>
      <c r="T83" s="2" t="s">
        <v>91</v>
      </c>
      <c r="U83" s="2" t="s">
        <v>91</v>
      </c>
      <c r="V83" s="2" t="s">
        <v>91</v>
      </c>
      <c r="W83" s="2" t="s">
        <v>91</v>
      </c>
      <c r="X83" s="2" t="s">
        <v>91</v>
      </c>
      <c r="Y83" s="2" t="s">
        <v>91</v>
      </c>
      <c r="Z83" s="2" t="s">
        <v>91</v>
      </c>
      <c r="AA83" s="2" t="s">
        <v>91</v>
      </c>
      <c r="AB83" s="2" t="s">
        <v>91</v>
      </c>
      <c r="AC83" s="2" t="s">
        <v>91</v>
      </c>
      <c r="AD83" s="2" t="s">
        <v>91</v>
      </c>
      <c r="AE83" s="2" t="s">
        <v>91</v>
      </c>
      <c r="AF83" s="2" t="s">
        <v>91</v>
      </c>
      <c r="AG83" s="2" t="s">
        <v>91</v>
      </c>
      <c r="AH83" s="2" t="s">
        <v>91</v>
      </c>
      <c r="AI83" s="2" t="s">
        <v>91</v>
      </c>
    </row>
    <row r="84" ht="16.5" hidden="1" spans="1:35">
      <c r="A84" s="2" t="s">
        <v>100</v>
      </c>
      <c r="B84" s="2" t="s">
        <v>73</v>
      </c>
      <c r="C84" s="4">
        <v>313</v>
      </c>
      <c r="D84" s="2" t="s">
        <v>19</v>
      </c>
      <c r="E84" s="4">
        <v>313</v>
      </c>
      <c r="F84" s="4">
        <v>129</v>
      </c>
      <c r="G84" s="4">
        <v>91</v>
      </c>
      <c r="H84" s="4">
        <v>70</v>
      </c>
      <c r="I84" s="4">
        <v>44</v>
      </c>
      <c r="J84" s="2" t="s">
        <v>91</v>
      </c>
      <c r="K84" s="2" t="s">
        <v>91</v>
      </c>
      <c r="L84" s="2" t="s">
        <v>91</v>
      </c>
      <c r="M84" s="2" t="s">
        <v>91</v>
      </c>
      <c r="N84" s="2" t="s">
        <v>91</v>
      </c>
      <c r="O84" s="2" t="s">
        <v>91</v>
      </c>
      <c r="P84" s="2" t="s">
        <v>91</v>
      </c>
      <c r="Q84" s="2" t="s">
        <v>91</v>
      </c>
      <c r="R84" s="2" t="s">
        <v>91</v>
      </c>
      <c r="S84" s="2" t="s">
        <v>91</v>
      </c>
      <c r="T84" s="2" t="s">
        <v>91</v>
      </c>
      <c r="U84" s="2" t="s">
        <v>91</v>
      </c>
      <c r="V84" s="2" t="s">
        <v>91</v>
      </c>
      <c r="W84" s="2" t="s">
        <v>91</v>
      </c>
      <c r="X84" s="2" t="s">
        <v>91</v>
      </c>
      <c r="Y84" s="2" t="s">
        <v>91</v>
      </c>
      <c r="Z84" s="2" t="s">
        <v>91</v>
      </c>
      <c r="AA84" s="2" t="s">
        <v>91</v>
      </c>
      <c r="AB84" s="2" t="s">
        <v>91</v>
      </c>
      <c r="AC84" s="2" t="s">
        <v>91</v>
      </c>
      <c r="AD84" s="2" t="s">
        <v>91</v>
      </c>
      <c r="AE84" s="2" t="s">
        <v>91</v>
      </c>
      <c r="AF84" s="2" t="s">
        <v>91</v>
      </c>
      <c r="AG84" s="2" t="s">
        <v>91</v>
      </c>
      <c r="AH84" s="2" t="s">
        <v>91</v>
      </c>
      <c r="AI84" s="2" t="s">
        <v>91</v>
      </c>
    </row>
    <row r="85" ht="16.5" hidden="1" spans="1:35">
      <c r="A85" s="2" t="s">
        <v>100</v>
      </c>
      <c r="B85" s="2" t="s">
        <v>73</v>
      </c>
      <c r="C85" s="4">
        <v>313</v>
      </c>
      <c r="D85" s="2" t="s">
        <v>74</v>
      </c>
      <c r="E85" s="6">
        <v>1</v>
      </c>
      <c r="F85" s="5">
        <v>0.4121</v>
      </c>
      <c r="G85" s="5">
        <v>0.2907</v>
      </c>
      <c r="H85" s="5">
        <v>0.2236</v>
      </c>
      <c r="I85" s="5">
        <v>0.1406</v>
      </c>
      <c r="J85" s="2" t="s">
        <v>91</v>
      </c>
      <c r="K85" s="2" t="s">
        <v>91</v>
      </c>
      <c r="L85" s="2" t="s">
        <v>91</v>
      </c>
      <c r="M85" s="2" t="s">
        <v>91</v>
      </c>
      <c r="N85" s="2" t="s">
        <v>91</v>
      </c>
      <c r="O85" s="2" t="s">
        <v>91</v>
      </c>
      <c r="P85" s="2" t="s">
        <v>91</v>
      </c>
      <c r="Q85" s="2" t="s">
        <v>91</v>
      </c>
      <c r="R85" s="2" t="s">
        <v>91</v>
      </c>
      <c r="S85" s="2" t="s">
        <v>91</v>
      </c>
      <c r="T85" s="2" t="s">
        <v>91</v>
      </c>
      <c r="U85" s="2" t="s">
        <v>91</v>
      </c>
      <c r="V85" s="2" t="s">
        <v>91</v>
      </c>
      <c r="W85" s="2" t="s">
        <v>91</v>
      </c>
      <c r="X85" s="2" t="s">
        <v>91</v>
      </c>
      <c r="Y85" s="2" t="s">
        <v>91</v>
      </c>
      <c r="Z85" s="2" t="s">
        <v>91</v>
      </c>
      <c r="AA85" s="2" t="s">
        <v>91</v>
      </c>
      <c r="AB85" s="2" t="s">
        <v>91</v>
      </c>
      <c r="AC85" s="2" t="s">
        <v>91</v>
      </c>
      <c r="AD85" s="2" t="s">
        <v>91</v>
      </c>
      <c r="AE85" s="2" t="s">
        <v>91</v>
      </c>
      <c r="AF85" s="2" t="s">
        <v>91</v>
      </c>
      <c r="AG85" s="2" t="s">
        <v>91</v>
      </c>
      <c r="AH85" s="2" t="s">
        <v>91</v>
      </c>
      <c r="AI85" s="2" t="s">
        <v>91</v>
      </c>
    </row>
    <row r="86" ht="16.5" hidden="1" spans="1:35">
      <c r="A86" s="2" t="s">
        <v>101</v>
      </c>
      <c r="B86" s="2" t="s">
        <v>73</v>
      </c>
      <c r="C86" s="4">
        <v>418</v>
      </c>
      <c r="D86" s="2" t="s">
        <v>19</v>
      </c>
      <c r="E86" s="4">
        <v>418</v>
      </c>
      <c r="F86" s="4">
        <v>151</v>
      </c>
      <c r="G86" s="4">
        <v>98</v>
      </c>
      <c r="H86" s="4">
        <v>59</v>
      </c>
      <c r="I86" s="2" t="s">
        <v>91</v>
      </c>
      <c r="J86" s="2" t="s">
        <v>91</v>
      </c>
      <c r="K86" s="2" t="s">
        <v>91</v>
      </c>
      <c r="L86" s="2" t="s">
        <v>91</v>
      </c>
      <c r="M86" s="2" t="s">
        <v>91</v>
      </c>
      <c r="N86" s="2" t="s">
        <v>91</v>
      </c>
      <c r="O86" s="2" t="s">
        <v>91</v>
      </c>
      <c r="P86" s="2" t="s">
        <v>91</v>
      </c>
      <c r="Q86" s="2" t="s">
        <v>91</v>
      </c>
      <c r="R86" s="2" t="s">
        <v>91</v>
      </c>
      <c r="S86" s="2" t="s">
        <v>91</v>
      </c>
      <c r="T86" s="2" t="s">
        <v>91</v>
      </c>
      <c r="U86" s="2" t="s">
        <v>91</v>
      </c>
      <c r="V86" s="2" t="s">
        <v>91</v>
      </c>
      <c r="W86" s="2" t="s">
        <v>91</v>
      </c>
      <c r="X86" s="2" t="s">
        <v>91</v>
      </c>
      <c r="Y86" s="2" t="s">
        <v>91</v>
      </c>
      <c r="Z86" s="2" t="s">
        <v>91</v>
      </c>
      <c r="AA86" s="2" t="s">
        <v>91</v>
      </c>
      <c r="AB86" s="2" t="s">
        <v>91</v>
      </c>
      <c r="AC86" s="2" t="s">
        <v>91</v>
      </c>
      <c r="AD86" s="2" t="s">
        <v>91</v>
      </c>
      <c r="AE86" s="2" t="s">
        <v>91</v>
      </c>
      <c r="AF86" s="2" t="s">
        <v>91</v>
      </c>
      <c r="AG86" s="2" t="s">
        <v>91</v>
      </c>
      <c r="AH86" s="2" t="s">
        <v>91</v>
      </c>
      <c r="AI86" s="2" t="s">
        <v>91</v>
      </c>
    </row>
    <row r="87" ht="16.5" hidden="1" spans="1:35">
      <c r="A87" s="2" t="s">
        <v>101</v>
      </c>
      <c r="B87" s="2" t="s">
        <v>73</v>
      </c>
      <c r="C87" s="4">
        <v>418</v>
      </c>
      <c r="D87" s="2" t="s">
        <v>74</v>
      </c>
      <c r="E87" s="6">
        <v>1</v>
      </c>
      <c r="F87" s="5">
        <v>0.3612</v>
      </c>
      <c r="G87" s="5">
        <v>0.2344</v>
      </c>
      <c r="H87" s="5">
        <v>0.1411</v>
      </c>
      <c r="I87" s="2" t="s">
        <v>91</v>
      </c>
      <c r="J87" s="2" t="s">
        <v>91</v>
      </c>
      <c r="K87" s="2" t="s">
        <v>91</v>
      </c>
      <c r="L87" s="2" t="s">
        <v>91</v>
      </c>
      <c r="M87" s="2" t="s">
        <v>91</v>
      </c>
      <c r="N87" s="2" t="s">
        <v>91</v>
      </c>
      <c r="O87" s="2" t="s">
        <v>91</v>
      </c>
      <c r="P87" s="2" t="s">
        <v>91</v>
      </c>
      <c r="Q87" s="2" t="s">
        <v>91</v>
      </c>
      <c r="R87" s="2" t="s">
        <v>91</v>
      </c>
      <c r="S87" s="2" t="s">
        <v>91</v>
      </c>
      <c r="T87" s="2" t="s">
        <v>91</v>
      </c>
      <c r="U87" s="2" t="s">
        <v>91</v>
      </c>
      <c r="V87" s="2" t="s">
        <v>91</v>
      </c>
      <c r="W87" s="2" t="s">
        <v>91</v>
      </c>
      <c r="X87" s="2" t="s">
        <v>91</v>
      </c>
      <c r="Y87" s="2" t="s">
        <v>91</v>
      </c>
      <c r="Z87" s="2" t="s">
        <v>91</v>
      </c>
      <c r="AA87" s="2" t="s">
        <v>91</v>
      </c>
      <c r="AB87" s="2" t="s">
        <v>91</v>
      </c>
      <c r="AC87" s="2" t="s">
        <v>91</v>
      </c>
      <c r="AD87" s="2" t="s">
        <v>91</v>
      </c>
      <c r="AE87" s="2" t="s">
        <v>91</v>
      </c>
      <c r="AF87" s="2" t="s">
        <v>91</v>
      </c>
      <c r="AG87" s="2" t="s">
        <v>91</v>
      </c>
      <c r="AH87" s="2" t="s">
        <v>91</v>
      </c>
      <c r="AI87" s="2" t="s">
        <v>91</v>
      </c>
    </row>
    <row r="88" ht="16.5" hidden="1" spans="1:35">
      <c r="A88" s="2" t="s">
        <v>102</v>
      </c>
      <c r="B88" s="2" t="s">
        <v>73</v>
      </c>
      <c r="C88" s="4">
        <v>523</v>
      </c>
      <c r="D88" s="2" t="s">
        <v>19</v>
      </c>
      <c r="E88" s="4">
        <v>523</v>
      </c>
      <c r="F88" s="4">
        <v>178</v>
      </c>
      <c r="G88" s="4">
        <v>100</v>
      </c>
      <c r="H88" s="2" t="s">
        <v>91</v>
      </c>
      <c r="I88" s="2" t="s">
        <v>91</v>
      </c>
      <c r="J88" s="2" t="s">
        <v>91</v>
      </c>
      <c r="K88" s="2" t="s">
        <v>91</v>
      </c>
      <c r="L88" s="2" t="s">
        <v>91</v>
      </c>
      <c r="M88" s="2" t="s">
        <v>91</v>
      </c>
      <c r="N88" s="2" t="s">
        <v>91</v>
      </c>
      <c r="O88" s="2" t="s">
        <v>91</v>
      </c>
      <c r="P88" s="2" t="s">
        <v>91</v>
      </c>
      <c r="Q88" s="2" t="s">
        <v>91</v>
      </c>
      <c r="R88" s="2" t="s">
        <v>91</v>
      </c>
      <c r="S88" s="2" t="s">
        <v>91</v>
      </c>
      <c r="T88" s="2" t="s">
        <v>91</v>
      </c>
      <c r="U88" s="2" t="s">
        <v>91</v>
      </c>
      <c r="V88" s="2" t="s">
        <v>91</v>
      </c>
      <c r="W88" s="2" t="s">
        <v>91</v>
      </c>
      <c r="X88" s="2" t="s">
        <v>91</v>
      </c>
      <c r="Y88" s="2" t="s">
        <v>91</v>
      </c>
      <c r="Z88" s="2" t="s">
        <v>91</v>
      </c>
      <c r="AA88" s="2" t="s">
        <v>91</v>
      </c>
      <c r="AB88" s="2" t="s">
        <v>91</v>
      </c>
      <c r="AC88" s="2" t="s">
        <v>91</v>
      </c>
      <c r="AD88" s="2" t="s">
        <v>91</v>
      </c>
      <c r="AE88" s="2" t="s">
        <v>91</v>
      </c>
      <c r="AF88" s="2" t="s">
        <v>91</v>
      </c>
      <c r="AG88" s="2" t="s">
        <v>91</v>
      </c>
      <c r="AH88" s="2" t="s">
        <v>91</v>
      </c>
      <c r="AI88" s="2" t="s">
        <v>91</v>
      </c>
    </row>
    <row r="89" ht="16.5" hidden="1" spans="1:35">
      <c r="A89" s="2" t="s">
        <v>102</v>
      </c>
      <c r="B89" s="2" t="s">
        <v>73</v>
      </c>
      <c r="C89" s="4">
        <v>523</v>
      </c>
      <c r="D89" s="2" t="s">
        <v>74</v>
      </c>
      <c r="E89" s="6">
        <v>1</v>
      </c>
      <c r="F89" s="5">
        <v>0.3403</v>
      </c>
      <c r="G89" s="5">
        <v>0.1912</v>
      </c>
      <c r="H89" s="2" t="s">
        <v>91</v>
      </c>
      <c r="I89" s="2" t="s">
        <v>91</v>
      </c>
      <c r="J89" s="2" t="s">
        <v>91</v>
      </c>
      <c r="K89" s="2" t="s">
        <v>91</v>
      </c>
      <c r="L89" s="2" t="s">
        <v>91</v>
      </c>
      <c r="M89" s="2" t="s">
        <v>91</v>
      </c>
      <c r="N89" s="2" t="s">
        <v>91</v>
      </c>
      <c r="O89" s="2" t="s">
        <v>91</v>
      </c>
      <c r="P89" s="2" t="s">
        <v>91</v>
      </c>
      <c r="Q89" s="2" t="s">
        <v>91</v>
      </c>
      <c r="R89" s="2" t="s">
        <v>91</v>
      </c>
      <c r="S89" s="2" t="s">
        <v>91</v>
      </c>
      <c r="T89" s="2" t="s">
        <v>91</v>
      </c>
      <c r="U89" s="2" t="s">
        <v>91</v>
      </c>
      <c r="V89" s="2" t="s">
        <v>91</v>
      </c>
      <c r="W89" s="2" t="s">
        <v>91</v>
      </c>
      <c r="X89" s="2" t="s">
        <v>91</v>
      </c>
      <c r="Y89" s="2" t="s">
        <v>91</v>
      </c>
      <c r="Z89" s="2" t="s">
        <v>91</v>
      </c>
      <c r="AA89" s="2" t="s">
        <v>91</v>
      </c>
      <c r="AB89" s="2" t="s">
        <v>91</v>
      </c>
      <c r="AC89" s="2" t="s">
        <v>91</v>
      </c>
      <c r="AD89" s="2" t="s">
        <v>91</v>
      </c>
      <c r="AE89" s="2" t="s">
        <v>91</v>
      </c>
      <c r="AF89" s="2" t="s">
        <v>91</v>
      </c>
      <c r="AG89" s="2" t="s">
        <v>91</v>
      </c>
      <c r="AH89" s="2" t="s">
        <v>91</v>
      </c>
      <c r="AI89" s="2" t="s">
        <v>91</v>
      </c>
    </row>
    <row r="90" ht="16.5" hidden="1" spans="1:35">
      <c r="A90" s="2" t="s">
        <v>103</v>
      </c>
      <c r="B90" s="2" t="s">
        <v>73</v>
      </c>
      <c r="C90" s="4">
        <v>710</v>
      </c>
      <c r="D90" s="2" t="s">
        <v>19</v>
      </c>
      <c r="E90" s="4">
        <v>709</v>
      </c>
      <c r="F90" s="4">
        <v>243</v>
      </c>
      <c r="G90" s="2" t="s">
        <v>91</v>
      </c>
      <c r="H90" s="2" t="s">
        <v>91</v>
      </c>
      <c r="I90" s="2" t="s">
        <v>91</v>
      </c>
      <c r="J90" s="2" t="s">
        <v>91</v>
      </c>
      <c r="K90" s="2" t="s">
        <v>91</v>
      </c>
      <c r="L90" s="2" t="s">
        <v>91</v>
      </c>
      <c r="M90" s="2" t="s">
        <v>91</v>
      </c>
      <c r="N90" s="2" t="s">
        <v>91</v>
      </c>
      <c r="O90" s="2" t="s">
        <v>91</v>
      </c>
      <c r="P90" s="2" t="s">
        <v>91</v>
      </c>
      <c r="Q90" s="2" t="s">
        <v>91</v>
      </c>
      <c r="R90" s="2" t="s">
        <v>91</v>
      </c>
      <c r="S90" s="2" t="s">
        <v>91</v>
      </c>
      <c r="T90" s="2" t="s">
        <v>91</v>
      </c>
      <c r="U90" s="2" t="s">
        <v>91</v>
      </c>
      <c r="V90" s="2" t="s">
        <v>91</v>
      </c>
      <c r="W90" s="2" t="s">
        <v>91</v>
      </c>
      <c r="X90" s="2" t="s">
        <v>91</v>
      </c>
      <c r="Y90" s="2" t="s">
        <v>91</v>
      </c>
      <c r="Z90" s="2" t="s">
        <v>91</v>
      </c>
      <c r="AA90" s="2" t="s">
        <v>91</v>
      </c>
      <c r="AB90" s="2" t="s">
        <v>91</v>
      </c>
      <c r="AC90" s="2" t="s">
        <v>91</v>
      </c>
      <c r="AD90" s="2" t="s">
        <v>91</v>
      </c>
      <c r="AE90" s="2" t="s">
        <v>91</v>
      </c>
      <c r="AF90" s="2" t="s">
        <v>91</v>
      </c>
      <c r="AG90" s="2" t="s">
        <v>91</v>
      </c>
      <c r="AH90" s="2" t="s">
        <v>91</v>
      </c>
      <c r="AI90" s="2" t="s">
        <v>91</v>
      </c>
    </row>
    <row r="91" ht="16.5" hidden="1" spans="1:35">
      <c r="A91" s="2" t="s">
        <v>103</v>
      </c>
      <c r="B91" s="2" t="s">
        <v>73</v>
      </c>
      <c r="C91" s="4">
        <v>710</v>
      </c>
      <c r="D91" s="2" t="s">
        <v>74</v>
      </c>
      <c r="E91" s="5">
        <v>0.9986</v>
      </c>
      <c r="F91" s="5">
        <v>0.3423</v>
      </c>
      <c r="G91" s="2" t="s">
        <v>91</v>
      </c>
      <c r="H91" s="2" t="s">
        <v>91</v>
      </c>
      <c r="I91" s="2" t="s">
        <v>91</v>
      </c>
      <c r="J91" s="2" t="s">
        <v>91</v>
      </c>
      <c r="K91" s="2" t="s">
        <v>91</v>
      </c>
      <c r="L91" s="2" t="s">
        <v>91</v>
      </c>
      <c r="M91" s="2" t="s">
        <v>91</v>
      </c>
      <c r="N91" s="2" t="s">
        <v>91</v>
      </c>
      <c r="O91" s="2" t="s">
        <v>91</v>
      </c>
      <c r="P91" s="2" t="s">
        <v>91</v>
      </c>
      <c r="Q91" s="2" t="s">
        <v>91</v>
      </c>
      <c r="R91" s="2" t="s">
        <v>91</v>
      </c>
      <c r="S91" s="2" t="s">
        <v>91</v>
      </c>
      <c r="T91" s="2" t="s">
        <v>91</v>
      </c>
      <c r="U91" s="2" t="s">
        <v>91</v>
      </c>
      <c r="V91" s="2" t="s">
        <v>91</v>
      </c>
      <c r="W91" s="2" t="s">
        <v>91</v>
      </c>
      <c r="X91" s="2" t="s">
        <v>91</v>
      </c>
      <c r="Y91" s="2" t="s">
        <v>91</v>
      </c>
      <c r="Z91" s="2" t="s">
        <v>91</v>
      </c>
      <c r="AA91" s="2" t="s">
        <v>91</v>
      </c>
      <c r="AB91" s="2" t="s">
        <v>91</v>
      </c>
      <c r="AC91" s="2" t="s">
        <v>91</v>
      </c>
      <c r="AD91" s="2" t="s">
        <v>91</v>
      </c>
      <c r="AE91" s="2" t="s">
        <v>91</v>
      </c>
      <c r="AF91" s="2" t="s">
        <v>91</v>
      </c>
      <c r="AG91" s="2" t="s">
        <v>91</v>
      </c>
      <c r="AH91" s="2" t="s">
        <v>91</v>
      </c>
      <c r="AI91" s="2" t="s">
        <v>91</v>
      </c>
    </row>
    <row r="92" ht="16.5" hidden="1" spans="1:35">
      <c r="A92" s="2" t="s">
        <v>104</v>
      </c>
      <c r="B92" s="2" t="s">
        <v>73</v>
      </c>
      <c r="C92" s="4">
        <v>508</v>
      </c>
      <c r="D92" s="2" t="s">
        <v>19</v>
      </c>
      <c r="E92" s="4">
        <v>508</v>
      </c>
      <c r="F92" s="2" t="s">
        <v>91</v>
      </c>
      <c r="G92" s="2" t="s">
        <v>91</v>
      </c>
      <c r="H92" s="2" t="s">
        <v>91</v>
      </c>
      <c r="I92" s="2" t="s">
        <v>91</v>
      </c>
      <c r="J92" s="2" t="s">
        <v>91</v>
      </c>
      <c r="K92" s="2" t="s">
        <v>91</v>
      </c>
      <c r="L92" s="2" t="s">
        <v>91</v>
      </c>
      <c r="M92" s="2" t="s">
        <v>91</v>
      </c>
      <c r="N92" s="2" t="s">
        <v>91</v>
      </c>
      <c r="O92" s="2" t="s">
        <v>91</v>
      </c>
      <c r="P92" s="2" t="s">
        <v>91</v>
      </c>
      <c r="Q92" s="2" t="s">
        <v>91</v>
      </c>
      <c r="R92" s="2" t="s">
        <v>91</v>
      </c>
      <c r="S92" s="2" t="s">
        <v>91</v>
      </c>
      <c r="T92" s="2" t="s">
        <v>91</v>
      </c>
      <c r="U92" s="2" t="s">
        <v>91</v>
      </c>
      <c r="V92" s="2" t="s">
        <v>91</v>
      </c>
      <c r="W92" s="2" t="s">
        <v>91</v>
      </c>
      <c r="X92" s="2" t="s">
        <v>91</v>
      </c>
      <c r="Y92" s="2" t="s">
        <v>91</v>
      </c>
      <c r="Z92" s="2" t="s">
        <v>91</v>
      </c>
      <c r="AA92" s="2" t="s">
        <v>91</v>
      </c>
      <c r="AB92" s="2" t="s">
        <v>91</v>
      </c>
      <c r="AC92" s="2" t="s">
        <v>91</v>
      </c>
      <c r="AD92" s="2" t="s">
        <v>91</v>
      </c>
      <c r="AE92" s="2" t="s">
        <v>91</v>
      </c>
      <c r="AF92" s="2" t="s">
        <v>91</v>
      </c>
      <c r="AG92" s="2" t="s">
        <v>91</v>
      </c>
      <c r="AH92" s="2" t="s">
        <v>91</v>
      </c>
      <c r="AI92" s="2" t="s">
        <v>91</v>
      </c>
    </row>
    <row r="93" ht="16.5" hidden="1" spans="1:35">
      <c r="A93" s="2" t="s">
        <v>104</v>
      </c>
      <c r="B93" s="2" t="s">
        <v>73</v>
      </c>
      <c r="C93" s="4">
        <v>508</v>
      </c>
      <c r="D93" s="2" t="s">
        <v>74</v>
      </c>
      <c r="E93" s="6">
        <v>1</v>
      </c>
      <c r="F93" s="2" t="s">
        <v>91</v>
      </c>
      <c r="G93" s="2" t="s">
        <v>91</v>
      </c>
      <c r="H93" s="2" t="s">
        <v>91</v>
      </c>
      <c r="I93" s="2" t="s">
        <v>91</v>
      </c>
      <c r="J93" s="2" t="s">
        <v>91</v>
      </c>
      <c r="K93" s="2" t="s">
        <v>91</v>
      </c>
      <c r="L93" s="2" t="s">
        <v>91</v>
      </c>
      <c r="M93" s="2" t="s">
        <v>91</v>
      </c>
      <c r="N93" s="2" t="s">
        <v>91</v>
      </c>
      <c r="O93" s="2" t="s">
        <v>91</v>
      </c>
      <c r="P93" s="2" t="s">
        <v>91</v>
      </c>
      <c r="Q93" s="2" t="s">
        <v>91</v>
      </c>
      <c r="R93" s="2" t="s">
        <v>91</v>
      </c>
      <c r="S93" s="2" t="s">
        <v>91</v>
      </c>
      <c r="T93" s="2" t="s">
        <v>91</v>
      </c>
      <c r="U93" s="2" t="s">
        <v>91</v>
      </c>
      <c r="V93" s="2" t="s">
        <v>91</v>
      </c>
      <c r="W93" s="2" t="s">
        <v>91</v>
      </c>
      <c r="X93" s="2" t="s">
        <v>91</v>
      </c>
      <c r="Y93" s="2" t="s">
        <v>91</v>
      </c>
      <c r="Z93" s="2" t="s">
        <v>91</v>
      </c>
      <c r="AA93" s="2" t="s">
        <v>91</v>
      </c>
      <c r="AB93" s="2" t="s">
        <v>91</v>
      </c>
      <c r="AC93" s="2" t="s">
        <v>91</v>
      </c>
      <c r="AD93" s="2" t="s">
        <v>91</v>
      </c>
      <c r="AE93" s="2" t="s">
        <v>91</v>
      </c>
      <c r="AF93" s="2" t="s">
        <v>91</v>
      </c>
      <c r="AG93" s="2" t="s">
        <v>91</v>
      </c>
      <c r="AH93" s="2" t="s">
        <v>91</v>
      </c>
      <c r="AI93" s="2" t="s">
        <v>91</v>
      </c>
    </row>
    <row r="94" ht="16.5" hidden="1" spans="1:35">
      <c r="A94" s="2" t="s">
        <v>72</v>
      </c>
      <c r="B94" s="2" t="s">
        <v>105</v>
      </c>
      <c r="C94" s="4">
        <v>953</v>
      </c>
      <c r="D94" s="2" t="s">
        <v>19</v>
      </c>
      <c r="E94" s="4">
        <v>952</v>
      </c>
      <c r="F94" s="4">
        <v>101</v>
      </c>
      <c r="G94" s="4">
        <v>1</v>
      </c>
      <c r="H94" s="4">
        <v>1</v>
      </c>
      <c r="I94" s="4">
        <v>1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</row>
    <row r="95" ht="16.5" hidden="1" spans="1:35">
      <c r="A95" s="2" t="s">
        <v>72</v>
      </c>
      <c r="B95" s="2" t="s">
        <v>105</v>
      </c>
      <c r="C95" s="4">
        <v>953</v>
      </c>
      <c r="D95" s="2" t="s">
        <v>74</v>
      </c>
      <c r="E95" s="5">
        <v>0.999</v>
      </c>
      <c r="F95" s="5">
        <v>0.3811</v>
      </c>
      <c r="G95" s="5">
        <v>0.125</v>
      </c>
      <c r="H95" s="5">
        <v>0.1429</v>
      </c>
      <c r="I95" s="6">
        <v>0.2</v>
      </c>
      <c r="J95" s="6">
        <v>0</v>
      </c>
      <c r="K95" s="6">
        <v>0</v>
      </c>
      <c r="L95" s="6">
        <v>1</v>
      </c>
      <c r="M95" s="2" t="s">
        <v>91</v>
      </c>
      <c r="N95" s="2" t="s">
        <v>91</v>
      </c>
      <c r="O95" s="2" t="s">
        <v>91</v>
      </c>
      <c r="P95" s="2" t="s">
        <v>91</v>
      </c>
      <c r="Q95" s="2" t="s">
        <v>91</v>
      </c>
      <c r="R95" s="2" t="s">
        <v>91</v>
      </c>
      <c r="S95" s="2" t="s">
        <v>91</v>
      </c>
      <c r="T95" s="2" t="s">
        <v>91</v>
      </c>
      <c r="U95" s="2" t="s">
        <v>91</v>
      </c>
      <c r="V95" s="2" t="s">
        <v>91</v>
      </c>
      <c r="W95" s="2" t="s">
        <v>91</v>
      </c>
      <c r="X95" s="2" t="s">
        <v>91</v>
      </c>
      <c r="Y95" s="2" t="s">
        <v>91</v>
      </c>
      <c r="Z95" s="2" t="s">
        <v>91</v>
      </c>
      <c r="AA95" s="2" t="s">
        <v>91</v>
      </c>
      <c r="AB95" s="2" t="s">
        <v>91</v>
      </c>
      <c r="AC95" s="2" t="s">
        <v>91</v>
      </c>
      <c r="AD95" s="2" t="s">
        <v>91</v>
      </c>
      <c r="AE95" s="2" t="s">
        <v>91</v>
      </c>
      <c r="AF95" s="2" t="s">
        <v>91</v>
      </c>
      <c r="AG95" s="2" t="s">
        <v>91</v>
      </c>
      <c r="AH95" s="2" t="s">
        <v>91</v>
      </c>
      <c r="AI95" s="2" t="s">
        <v>91</v>
      </c>
    </row>
    <row r="96" ht="16.5" hidden="1" spans="1:35">
      <c r="A96" s="2" t="s">
        <v>30</v>
      </c>
      <c r="B96" s="2" t="s">
        <v>105</v>
      </c>
      <c r="C96" s="4">
        <v>1</v>
      </c>
      <c r="D96" s="2" t="s">
        <v>19</v>
      </c>
      <c r="E96" s="4">
        <v>1</v>
      </c>
      <c r="F96" s="4">
        <v>1</v>
      </c>
      <c r="G96" s="4">
        <v>1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  <c r="M96" s="4">
        <v>0</v>
      </c>
      <c r="N96" s="2" t="s">
        <v>91</v>
      </c>
      <c r="O96" s="2" t="s">
        <v>91</v>
      </c>
      <c r="P96" s="2" t="s">
        <v>91</v>
      </c>
      <c r="Q96" s="2" t="s">
        <v>91</v>
      </c>
      <c r="R96" s="2" t="s">
        <v>91</v>
      </c>
      <c r="S96" s="2" t="s">
        <v>91</v>
      </c>
      <c r="T96" s="2" t="s">
        <v>91</v>
      </c>
      <c r="U96" s="2" t="s">
        <v>91</v>
      </c>
      <c r="V96" s="2" t="s">
        <v>91</v>
      </c>
      <c r="W96" s="2" t="s">
        <v>91</v>
      </c>
      <c r="X96" s="2" t="s">
        <v>91</v>
      </c>
      <c r="Y96" s="2" t="s">
        <v>91</v>
      </c>
      <c r="Z96" s="2" t="s">
        <v>91</v>
      </c>
      <c r="AA96" s="2" t="s">
        <v>91</v>
      </c>
      <c r="AB96" s="2" t="s">
        <v>91</v>
      </c>
      <c r="AC96" s="2" t="s">
        <v>91</v>
      </c>
      <c r="AD96" s="2" t="s">
        <v>91</v>
      </c>
      <c r="AE96" s="2" t="s">
        <v>91</v>
      </c>
      <c r="AF96" s="2" t="s">
        <v>91</v>
      </c>
      <c r="AG96" s="2" t="s">
        <v>91</v>
      </c>
      <c r="AH96" s="2" t="s">
        <v>91</v>
      </c>
      <c r="AI96" s="2" t="s">
        <v>91</v>
      </c>
    </row>
    <row r="97" ht="16.5" hidden="1" spans="1:35">
      <c r="A97" s="2" t="s">
        <v>30</v>
      </c>
      <c r="B97" s="2" t="s">
        <v>105</v>
      </c>
      <c r="C97" s="4">
        <v>1</v>
      </c>
      <c r="D97" s="2" t="s">
        <v>74</v>
      </c>
      <c r="E97" s="6">
        <v>1</v>
      </c>
      <c r="F97" s="6">
        <v>1</v>
      </c>
      <c r="G97" s="6">
        <v>1</v>
      </c>
      <c r="H97" s="6">
        <v>1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2" t="s">
        <v>91</v>
      </c>
      <c r="O97" s="2" t="s">
        <v>91</v>
      </c>
      <c r="P97" s="2" t="s">
        <v>91</v>
      </c>
      <c r="Q97" s="2" t="s">
        <v>91</v>
      </c>
      <c r="R97" s="2" t="s">
        <v>91</v>
      </c>
      <c r="S97" s="2" t="s">
        <v>91</v>
      </c>
      <c r="T97" s="2" t="s">
        <v>91</v>
      </c>
      <c r="U97" s="2" t="s">
        <v>91</v>
      </c>
      <c r="V97" s="2" t="s">
        <v>91</v>
      </c>
      <c r="W97" s="2" t="s">
        <v>91</v>
      </c>
      <c r="X97" s="2" t="s">
        <v>91</v>
      </c>
      <c r="Y97" s="2" t="s">
        <v>91</v>
      </c>
      <c r="Z97" s="2" t="s">
        <v>91</v>
      </c>
      <c r="AA97" s="2" t="s">
        <v>91</v>
      </c>
      <c r="AB97" s="2" t="s">
        <v>91</v>
      </c>
      <c r="AC97" s="2" t="s">
        <v>91</v>
      </c>
      <c r="AD97" s="2" t="s">
        <v>91</v>
      </c>
      <c r="AE97" s="2" t="s">
        <v>91</v>
      </c>
      <c r="AF97" s="2" t="s">
        <v>91</v>
      </c>
      <c r="AG97" s="2" t="s">
        <v>91</v>
      </c>
      <c r="AH97" s="2" t="s">
        <v>91</v>
      </c>
      <c r="AI97" s="2" t="s">
        <v>91</v>
      </c>
    </row>
    <row r="98" ht="16.5" hidden="1" spans="1:35">
      <c r="A98" s="2" t="s">
        <v>32</v>
      </c>
      <c r="B98" s="2" t="s">
        <v>105</v>
      </c>
      <c r="C98" s="4">
        <v>1</v>
      </c>
      <c r="D98" s="2" t="s">
        <v>19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2" t="s">
        <v>91</v>
      </c>
      <c r="N98" s="2" t="s">
        <v>91</v>
      </c>
      <c r="O98" s="2" t="s">
        <v>91</v>
      </c>
      <c r="P98" s="2" t="s">
        <v>91</v>
      </c>
      <c r="Q98" s="2" t="s">
        <v>91</v>
      </c>
      <c r="R98" s="2" t="s">
        <v>91</v>
      </c>
      <c r="S98" s="2" t="s">
        <v>91</v>
      </c>
      <c r="T98" s="2" t="s">
        <v>91</v>
      </c>
      <c r="U98" s="2" t="s">
        <v>91</v>
      </c>
      <c r="V98" s="2" t="s">
        <v>91</v>
      </c>
      <c r="W98" s="2" t="s">
        <v>91</v>
      </c>
      <c r="X98" s="2" t="s">
        <v>91</v>
      </c>
      <c r="Y98" s="2" t="s">
        <v>91</v>
      </c>
      <c r="Z98" s="2" t="s">
        <v>91</v>
      </c>
      <c r="AA98" s="2" t="s">
        <v>91</v>
      </c>
      <c r="AB98" s="2" t="s">
        <v>91</v>
      </c>
      <c r="AC98" s="2" t="s">
        <v>91</v>
      </c>
      <c r="AD98" s="2" t="s">
        <v>91</v>
      </c>
      <c r="AE98" s="2" t="s">
        <v>91</v>
      </c>
      <c r="AF98" s="2" t="s">
        <v>91</v>
      </c>
      <c r="AG98" s="2" t="s">
        <v>91</v>
      </c>
      <c r="AH98" s="2" t="s">
        <v>91</v>
      </c>
      <c r="AI98" s="2" t="s">
        <v>91</v>
      </c>
    </row>
    <row r="99" ht="16.5" hidden="1" spans="1:35">
      <c r="A99" s="2" t="s">
        <v>32</v>
      </c>
      <c r="B99" s="2" t="s">
        <v>105</v>
      </c>
      <c r="C99" s="4">
        <v>1</v>
      </c>
      <c r="D99" s="2" t="s">
        <v>74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2" t="s">
        <v>91</v>
      </c>
      <c r="N99" s="2" t="s">
        <v>91</v>
      </c>
      <c r="O99" s="2" t="s">
        <v>91</v>
      </c>
      <c r="P99" s="2" t="s">
        <v>91</v>
      </c>
      <c r="Q99" s="2" t="s">
        <v>91</v>
      </c>
      <c r="R99" s="2" t="s">
        <v>91</v>
      </c>
      <c r="S99" s="2" t="s">
        <v>91</v>
      </c>
      <c r="T99" s="2" t="s">
        <v>91</v>
      </c>
      <c r="U99" s="2" t="s">
        <v>91</v>
      </c>
      <c r="V99" s="2" t="s">
        <v>91</v>
      </c>
      <c r="W99" s="2" t="s">
        <v>91</v>
      </c>
      <c r="X99" s="2" t="s">
        <v>91</v>
      </c>
      <c r="Y99" s="2" t="s">
        <v>91</v>
      </c>
      <c r="Z99" s="2" t="s">
        <v>91</v>
      </c>
      <c r="AA99" s="2" t="s">
        <v>91</v>
      </c>
      <c r="AB99" s="2" t="s">
        <v>91</v>
      </c>
      <c r="AC99" s="2" t="s">
        <v>91</v>
      </c>
      <c r="AD99" s="2" t="s">
        <v>91</v>
      </c>
      <c r="AE99" s="2" t="s">
        <v>91</v>
      </c>
      <c r="AF99" s="2" t="s">
        <v>91</v>
      </c>
      <c r="AG99" s="2" t="s">
        <v>91</v>
      </c>
      <c r="AH99" s="2" t="s">
        <v>91</v>
      </c>
      <c r="AI99" s="2" t="s">
        <v>91</v>
      </c>
    </row>
    <row r="100" ht="16.5" hidden="1" spans="1:35">
      <c r="A100" s="2" t="s">
        <v>98</v>
      </c>
      <c r="B100" s="2" t="s">
        <v>105</v>
      </c>
      <c r="C100" s="4">
        <v>2</v>
      </c>
      <c r="D100" s="2" t="s">
        <v>19</v>
      </c>
      <c r="E100" s="4">
        <v>2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2" t="s">
        <v>91</v>
      </c>
      <c r="M100" s="2" t="s">
        <v>91</v>
      </c>
      <c r="N100" s="2" t="s">
        <v>91</v>
      </c>
      <c r="O100" s="2" t="s">
        <v>91</v>
      </c>
      <c r="P100" s="2" t="s">
        <v>91</v>
      </c>
      <c r="Q100" s="2" t="s">
        <v>91</v>
      </c>
      <c r="R100" s="2" t="s">
        <v>91</v>
      </c>
      <c r="S100" s="2" t="s">
        <v>91</v>
      </c>
      <c r="T100" s="2" t="s">
        <v>91</v>
      </c>
      <c r="U100" s="2" t="s">
        <v>91</v>
      </c>
      <c r="V100" s="2" t="s">
        <v>91</v>
      </c>
      <c r="W100" s="2" t="s">
        <v>91</v>
      </c>
      <c r="X100" s="2" t="s">
        <v>91</v>
      </c>
      <c r="Y100" s="2" t="s">
        <v>91</v>
      </c>
      <c r="Z100" s="2" t="s">
        <v>91</v>
      </c>
      <c r="AA100" s="2" t="s">
        <v>91</v>
      </c>
      <c r="AB100" s="2" t="s">
        <v>91</v>
      </c>
      <c r="AC100" s="2" t="s">
        <v>91</v>
      </c>
      <c r="AD100" s="2" t="s">
        <v>91</v>
      </c>
      <c r="AE100" s="2" t="s">
        <v>91</v>
      </c>
      <c r="AF100" s="2" t="s">
        <v>91</v>
      </c>
      <c r="AG100" s="2" t="s">
        <v>91</v>
      </c>
      <c r="AH100" s="2" t="s">
        <v>91</v>
      </c>
      <c r="AI100" s="2" t="s">
        <v>91</v>
      </c>
    </row>
    <row r="101" ht="16.5" hidden="1" spans="1:35">
      <c r="A101" s="2" t="s">
        <v>98</v>
      </c>
      <c r="B101" s="2" t="s">
        <v>105</v>
      </c>
      <c r="C101" s="4">
        <v>2</v>
      </c>
      <c r="D101" s="2" t="s">
        <v>74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2" t="s">
        <v>91</v>
      </c>
      <c r="M101" s="2" t="s">
        <v>91</v>
      </c>
      <c r="N101" s="2" t="s">
        <v>91</v>
      </c>
      <c r="O101" s="2" t="s">
        <v>91</v>
      </c>
      <c r="P101" s="2" t="s">
        <v>91</v>
      </c>
      <c r="Q101" s="2" t="s">
        <v>91</v>
      </c>
      <c r="R101" s="2" t="s">
        <v>91</v>
      </c>
      <c r="S101" s="2" t="s">
        <v>91</v>
      </c>
      <c r="T101" s="2" t="s">
        <v>91</v>
      </c>
      <c r="U101" s="2" t="s">
        <v>91</v>
      </c>
      <c r="V101" s="2" t="s">
        <v>91</v>
      </c>
      <c r="W101" s="2" t="s">
        <v>91</v>
      </c>
      <c r="X101" s="2" t="s">
        <v>91</v>
      </c>
      <c r="Y101" s="2" t="s">
        <v>91</v>
      </c>
      <c r="Z101" s="2" t="s">
        <v>91</v>
      </c>
      <c r="AA101" s="2" t="s">
        <v>91</v>
      </c>
      <c r="AB101" s="2" t="s">
        <v>91</v>
      </c>
      <c r="AC101" s="2" t="s">
        <v>91</v>
      </c>
      <c r="AD101" s="2" t="s">
        <v>91</v>
      </c>
      <c r="AE101" s="2" t="s">
        <v>91</v>
      </c>
      <c r="AF101" s="2" t="s">
        <v>91</v>
      </c>
      <c r="AG101" s="2" t="s">
        <v>91</v>
      </c>
      <c r="AH101" s="2" t="s">
        <v>91</v>
      </c>
      <c r="AI101" s="2" t="s">
        <v>91</v>
      </c>
    </row>
    <row r="102" ht="16.5" hidden="1" spans="1:35">
      <c r="A102" s="2" t="s">
        <v>99</v>
      </c>
      <c r="B102" s="2" t="s">
        <v>105</v>
      </c>
      <c r="C102" s="4">
        <v>1</v>
      </c>
      <c r="D102" s="2" t="s">
        <v>19</v>
      </c>
      <c r="E102" s="4">
        <v>1</v>
      </c>
      <c r="F102" s="4">
        <v>0</v>
      </c>
      <c r="G102" s="4">
        <v>0</v>
      </c>
      <c r="H102" s="4">
        <v>0</v>
      </c>
      <c r="I102" s="4">
        <v>1</v>
      </c>
      <c r="J102" s="4">
        <v>0</v>
      </c>
      <c r="K102" s="2" t="s">
        <v>91</v>
      </c>
      <c r="L102" s="2" t="s">
        <v>91</v>
      </c>
      <c r="M102" s="2" t="s">
        <v>91</v>
      </c>
      <c r="N102" s="2" t="s">
        <v>91</v>
      </c>
      <c r="O102" s="2" t="s">
        <v>91</v>
      </c>
      <c r="P102" s="2" t="s">
        <v>91</v>
      </c>
      <c r="Q102" s="2" t="s">
        <v>91</v>
      </c>
      <c r="R102" s="2" t="s">
        <v>91</v>
      </c>
      <c r="S102" s="2" t="s">
        <v>91</v>
      </c>
      <c r="T102" s="2" t="s">
        <v>91</v>
      </c>
      <c r="U102" s="2" t="s">
        <v>91</v>
      </c>
      <c r="V102" s="2" t="s">
        <v>91</v>
      </c>
      <c r="W102" s="2" t="s">
        <v>91</v>
      </c>
      <c r="X102" s="2" t="s">
        <v>91</v>
      </c>
      <c r="Y102" s="2" t="s">
        <v>91</v>
      </c>
      <c r="Z102" s="2" t="s">
        <v>91</v>
      </c>
      <c r="AA102" s="2" t="s">
        <v>91</v>
      </c>
      <c r="AB102" s="2" t="s">
        <v>91</v>
      </c>
      <c r="AC102" s="2" t="s">
        <v>91</v>
      </c>
      <c r="AD102" s="2" t="s">
        <v>91</v>
      </c>
      <c r="AE102" s="2" t="s">
        <v>91</v>
      </c>
      <c r="AF102" s="2" t="s">
        <v>91</v>
      </c>
      <c r="AG102" s="2" t="s">
        <v>91</v>
      </c>
      <c r="AH102" s="2" t="s">
        <v>91</v>
      </c>
      <c r="AI102" s="2" t="s">
        <v>91</v>
      </c>
    </row>
    <row r="103" ht="16.5" hidden="1" spans="1:35">
      <c r="A103" s="2" t="s">
        <v>99</v>
      </c>
      <c r="B103" s="2" t="s">
        <v>105</v>
      </c>
      <c r="C103" s="4">
        <v>1</v>
      </c>
      <c r="D103" s="2" t="s">
        <v>74</v>
      </c>
      <c r="E103" s="6">
        <v>1</v>
      </c>
      <c r="F103" s="6">
        <v>0</v>
      </c>
      <c r="G103" s="6">
        <v>0</v>
      </c>
      <c r="H103" s="6">
        <v>0</v>
      </c>
      <c r="I103" s="6">
        <v>1</v>
      </c>
      <c r="J103" s="6">
        <v>0</v>
      </c>
      <c r="K103" s="2" t="s">
        <v>91</v>
      </c>
      <c r="L103" s="2" t="s">
        <v>91</v>
      </c>
      <c r="M103" s="2" t="s">
        <v>91</v>
      </c>
      <c r="N103" s="2" t="s">
        <v>91</v>
      </c>
      <c r="O103" s="2" t="s">
        <v>91</v>
      </c>
      <c r="P103" s="2" t="s">
        <v>91</v>
      </c>
      <c r="Q103" s="2" t="s">
        <v>91</v>
      </c>
      <c r="R103" s="2" t="s">
        <v>91</v>
      </c>
      <c r="S103" s="2" t="s">
        <v>91</v>
      </c>
      <c r="T103" s="2" t="s">
        <v>91</v>
      </c>
      <c r="U103" s="2" t="s">
        <v>91</v>
      </c>
      <c r="V103" s="2" t="s">
        <v>91</v>
      </c>
      <c r="W103" s="2" t="s">
        <v>91</v>
      </c>
      <c r="X103" s="2" t="s">
        <v>91</v>
      </c>
      <c r="Y103" s="2" t="s">
        <v>91</v>
      </c>
      <c r="Z103" s="2" t="s">
        <v>91</v>
      </c>
      <c r="AA103" s="2" t="s">
        <v>91</v>
      </c>
      <c r="AB103" s="2" t="s">
        <v>91</v>
      </c>
      <c r="AC103" s="2" t="s">
        <v>91</v>
      </c>
      <c r="AD103" s="2" t="s">
        <v>91</v>
      </c>
      <c r="AE103" s="2" t="s">
        <v>91</v>
      </c>
      <c r="AF103" s="2" t="s">
        <v>91</v>
      </c>
      <c r="AG103" s="2" t="s">
        <v>91</v>
      </c>
      <c r="AH103" s="2" t="s">
        <v>91</v>
      </c>
      <c r="AI103" s="2" t="s">
        <v>91</v>
      </c>
    </row>
    <row r="104" ht="16.5" hidden="1" spans="1:35">
      <c r="A104" s="2" t="s">
        <v>100</v>
      </c>
      <c r="B104" s="2" t="s">
        <v>105</v>
      </c>
      <c r="C104" s="4">
        <v>2</v>
      </c>
      <c r="D104" s="2" t="s">
        <v>19</v>
      </c>
      <c r="E104" s="4">
        <v>2</v>
      </c>
      <c r="F104" s="4">
        <v>0</v>
      </c>
      <c r="G104" s="4">
        <v>0</v>
      </c>
      <c r="H104" s="4">
        <v>0</v>
      </c>
      <c r="I104" s="4">
        <v>0</v>
      </c>
      <c r="J104" s="2" t="s">
        <v>91</v>
      </c>
      <c r="K104" s="2" t="s">
        <v>91</v>
      </c>
      <c r="L104" s="2" t="s">
        <v>91</v>
      </c>
      <c r="M104" s="2" t="s">
        <v>91</v>
      </c>
      <c r="N104" s="2" t="s">
        <v>91</v>
      </c>
      <c r="O104" s="2" t="s">
        <v>91</v>
      </c>
      <c r="P104" s="2" t="s">
        <v>91</v>
      </c>
      <c r="Q104" s="2" t="s">
        <v>91</v>
      </c>
      <c r="R104" s="2" t="s">
        <v>91</v>
      </c>
      <c r="S104" s="2" t="s">
        <v>91</v>
      </c>
      <c r="T104" s="2" t="s">
        <v>91</v>
      </c>
      <c r="U104" s="2" t="s">
        <v>91</v>
      </c>
      <c r="V104" s="2" t="s">
        <v>91</v>
      </c>
      <c r="W104" s="2" t="s">
        <v>91</v>
      </c>
      <c r="X104" s="2" t="s">
        <v>91</v>
      </c>
      <c r="Y104" s="2" t="s">
        <v>91</v>
      </c>
      <c r="Z104" s="2" t="s">
        <v>91</v>
      </c>
      <c r="AA104" s="2" t="s">
        <v>91</v>
      </c>
      <c r="AB104" s="2" t="s">
        <v>91</v>
      </c>
      <c r="AC104" s="2" t="s">
        <v>91</v>
      </c>
      <c r="AD104" s="2" t="s">
        <v>91</v>
      </c>
      <c r="AE104" s="2" t="s">
        <v>91</v>
      </c>
      <c r="AF104" s="2" t="s">
        <v>91</v>
      </c>
      <c r="AG104" s="2" t="s">
        <v>91</v>
      </c>
      <c r="AH104" s="2" t="s">
        <v>91</v>
      </c>
      <c r="AI104" s="2" t="s">
        <v>91</v>
      </c>
    </row>
    <row r="105" ht="16.5" hidden="1" spans="1:35">
      <c r="A105" s="2" t="s">
        <v>100</v>
      </c>
      <c r="B105" s="2" t="s">
        <v>105</v>
      </c>
      <c r="C105" s="4">
        <v>2</v>
      </c>
      <c r="D105" s="2" t="s">
        <v>74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2" t="s">
        <v>91</v>
      </c>
      <c r="K105" s="2" t="s">
        <v>91</v>
      </c>
      <c r="L105" s="2" t="s">
        <v>91</v>
      </c>
      <c r="M105" s="2" t="s">
        <v>91</v>
      </c>
      <c r="N105" s="2" t="s">
        <v>91</v>
      </c>
      <c r="O105" s="2" t="s">
        <v>91</v>
      </c>
      <c r="P105" s="2" t="s">
        <v>91</v>
      </c>
      <c r="Q105" s="2" t="s">
        <v>91</v>
      </c>
      <c r="R105" s="2" t="s">
        <v>91</v>
      </c>
      <c r="S105" s="2" t="s">
        <v>91</v>
      </c>
      <c r="T105" s="2" t="s">
        <v>91</v>
      </c>
      <c r="U105" s="2" t="s">
        <v>91</v>
      </c>
      <c r="V105" s="2" t="s">
        <v>91</v>
      </c>
      <c r="W105" s="2" t="s">
        <v>91</v>
      </c>
      <c r="X105" s="2" t="s">
        <v>91</v>
      </c>
      <c r="Y105" s="2" t="s">
        <v>91</v>
      </c>
      <c r="Z105" s="2" t="s">
        <v>91</v>
      </c>
      <c r="AA105" s="2" t="s">
        <v>91</v>
      </c>
      <c r="AB105" s="2" t="s">
        <v>91</v>
      </c>
      <c r="AC105" s="2" t="s">
        <v>91</v>
      </c>
      <c r="AD105" s="2" t="s">
        <v>91</v>
      </c>
      <c r="AE105" s="2" t="s">
        <v>91</v>
      </c>
      <c r="AF105" s="2" t="s">
        <v>91</v>
      </c>
      <c r="AG105" s="2" t="s">
        <v>91</v>
      </c>
      <c r="AH105" s="2" t="s">
        <v>91</v>
      </c>
      <c r="AI105" s="2" t="s">
        <v>91</v>
      </c>
    </row>
    <row r="106" ht="16.5" hidden="1" spans="1:35">
      <c r="A106" s="2" t="s">
        <v>101</v>
      </c>
      <c r="B106" s="2" t="s">
        <v>105</v>
      </c>
      <c r="C106" s="4">
        <v>1</v>
      </c>
      <c r="D106" s="2" t="s">
        <v>19</v>
      </c>
      <c r="E106" s="4">
        <v>1</v>
      </c>
      <c r="F106" s="4">
        <v>0</v>
      </c>
      <c r="G106" s="4">
        <v>0</v>
      </c>
      <c r="H106" s="4">
        <v>0</v>
      </c>
      <c r="I106" s="2" t="s">
        <v>91</v>
      </c>
      <c r="J106" s="2" t="s">
        <v>91</v>
      </c>
      <c r="K106" s="2" t="s">
        <v>91</v>
      </c>
      <c r="L106" s="2" t="s">
        <v>91</v>
      </c>
      <c r="M106" s="2" t="s">
        <v>91</v>
      </c>
      <c r="N106" s="2" t="s">
        <v>91</v>
      </c>
      <c r="O106" s="2" t="s">
        <v>91</v>
      </c>
      <c r="P106" s="2" t="s">
        <v>91</v>
      </c>
      <c r="Q106" s="2" t="s">
        <v>91</v>
      </c>
      <c r="R106" s="2" t="s">
        <v>91</v>
      </c>
      <c r="S106" s="2" t="s">
        <v>91</v>
      </c>
      <c r="T106" s="2" t="s">
        <v>91</v>
      </c>
      <c r="U106" s="2" t="s">
        <v>91</v>
      </c>
      <c r="V106" s="2" t="s">
        <v>91</v>
      </c>
      <c r="W106" s="2" t="s">
        <v>91</v>
      </c>
      <c r="X106" s="2" t="s">
        <v>91</v>
      </c>
      <c r="Y106" s="2" t="s">
        <v>91</v>
      </c>
      <c r="Z106" s="2" t="s">
        <v>91</v>
      </c>
      <c r="AA106" s="2" t="s">
        <v>91</v>
      </c>
      <c r="AB106" s="2" t="s">
        <v>91</v>
      </c>
      <c r="AC106" s="2" t="s">
        <v>91</v>
      </c>
      <c r="AD106" s="2" t="s">
        <v>91</v>
      </c>
      <c r="AE106" s="2" t="s">
        <v>91</v>
      </c>
      <c r="AF106" s="2" t="s">
        <v>91</v>
      </c>
      <c r="AG106" s="2" t="s">
        <v>91</v>
      </c>
      <c r="AH106" s="2" t="s">
        <v>91</v>
      </c>
      <c r="AI106" s="2" t="s">
        <v>91</v>
      </c>
    </row>
    <row r="107" ht="16.5" hidden="1" spans="1:35">
      <c r="A107" s="2" t="s">
        <v>101</v>
      </c>
      <c r="B107" s="2" t="s">
        <v>105</v>
      </c>
      <c r="C107" s="4">
        <v>1</v>
      </c>
      <c r="D107" s="2" t="s">
        <v>74</v>
      </c>
      <c r="E107" s="6">
        <v>1</v>
      </c>
      <c r="F107" s="6">
        <v>0</v>
      </c>
      <c r="G107" s="6">
        <v>0</v>
      </c>
      <c r="H107" s="6">
        <v>0</v>
      </c>
      <c r="I107" s="2" t="s">
        <v>91</v>
      </c>
      <c r="J107" s="2" t="s">
        <v>91</v>
      </c>
      <c r="K107" s="2" t="s">
        <v>91</v>
      </c>
      <c r="L107" s="2" t="s">
        <v>91</v>
      </c>
      <c r="M107" s="2" t="s">
        <v>91</v>
      </c>
      <c r="N107" s="2" t="s">
        <v>91</v>
      </c>
      <c r="O107" s="2" t="s">
        <v>91</v>
      </c>
      <c r="P107" s="2" t="s">
        <v>91</v>
      </c>
      <c r="Q107" s="2" t="s">
        <v>91</v>
      </c>
      <c r="R107" s="2" t="s">
        <v>91</v>
      </c>
      <c r="S107" s="2" t="s">
        <v>91</v>
      </c>
      <c r="T107" s="2" t="s">
        <v>91</v>
      </c>
      <c r="U107" s="2" t="s">
        <v>91</v>
      </c>
      <c r="V107" s="2" t="s">
        <v>91</v>
      </c>
      <c r="W107" s="2" t="s">
        <v>91</v>
      </c>
      <c r="X107" s="2" t="s">
        <v>91</v>
      </c>
      <c r="Y107" s="2" t="s">
        <v>91</v>
      </c>
      <c r="Z107" s="2" t="s">
        <v>91</v>
      </c>
      <c r="AA107" s="2" t="s">
        <v>91</v>
      </c>
      <c r="AB107" s="2" t="s">
        <v>91</v>
      </c>
      <c r="AC107" s="2" t="s">
        <v>91</v>
      </c>
      <c r="AD107" s="2" t="s">
        <v>91</v>
      </c>
      <c r="AE107" s="2" t="s">
        <v>91</v>
      </c>
      <c r="AF107" s="2" t="s">
        <v>91</v>
      </c>
      <c r="AG107" s="2" t="s">
        <v>91</v>
      </c>
      <c r="AH107" s="2" t="s">
        <v>91</v>
      </c>
      <c r="AI107" s="2" t="s">
        <v>91</v>
      </c>
    </row>
    <row r="108" ht="16.5" hidden="1" spans="1:35">
      <c r="A108" s="2" t="s">
        <v>102</v>
      </c>
      <c r="B108" s="2" t="s">
        <v>105</v>
      </c>
      <c r="C108" s="4">
        <v>257</v>
      </c>
      <c r="D108" s="2" t="s">
        <v>19</v>
      </c>
      <c r="E108" s="4">
        <v>257</v>
      </c>
      <c r="F108" s="4">
        <v>100</v>
      </c>
      <c r="G108" s="4">
        <v>50</v>
      </c>
      <c r="H108" s="2" t="s">
        <v>91</v>
      </c>
      <c r="I108" s="2" t="s">
        <v>91</v>
      </c>
      <c r="J108" s="2" t="s">
        <v>91</v>
      </c>
      <c r="K108" s="2" t="s">
        <v>91</v>
      </c>
      <c r="L108" s="2" t="s">
        <v>91</v>
      </c>
      <c r="M108" s="2" t="s">
        <v>91</v>
      </c>
      <c r="N108" s="2" t="s">
        <v>91</v>
      </c>
      <c r="O108" s="2" t="s">
        <v>91</v>
      </c>
      <c r="P108" s="2" t="s">
        <v>91</v>
      </c>
      <c r="Q108" s="2" t="s">
        <v>91</v>
      </c>
      <c r="R108" s="2" t="s">
        <v>91</v>
      </c>
      <c r="S108" s="2" t="s">
        <v>91</v>
      </c>
      <c r="T108" s="2" t="s">
        <v>91</v>
      </c>
      <c r="U108" s="2" t="s">
        <v>91</v>
      </c>
      <c r="V108" s="2" t="s">
        <v>91</v>
      </c>
      <c r="W108" s="2" t="s">
        <v>91</v>
      </c>
      <c r="X108" s="2" t="s">
        <v>91</v>
      </c>
      <c r="Y108" s="2" t="s">
        <v>91</v>
      </c>
      <c r="Z108" s="2" t="s">
        <v>91</v>
      </c>
      <c r="AA108" s="2" t="s">
        <v>91</v>
      </c>
      <c r="AB108" s="2" t="s">
        <v>91</v>
      </c>
      <c r="AC108" s="2" t="s">
        <v>91</v>
      </c>
      <c r="AD108" s="2" t="s">
        <v>91</v>
      </c>
      <c r="AE108" s="2" t="s">
        <v>91</v>
      </c>
      <c r="AF108" s="2" t="s">
        <v>91</v>
      </c>
      <c r="AG108" s="2" t="s">
        <v>91</v>
      </c>
      <c r="AH108" s="2" t="s">
        <v>91</v>
      </c>
      <c r="AI108" s="2" t="s">
        <v>91</v>
      </c>
    </row>
    <row r="109" ht="16.5" hidden="1" spans="1:35">
      <c r="A109" s="2" t="s">
        <v>102</v>
      </c>
      <c r="B109" s="2" t="s">
        <v>105</v>
      </c>
      <c r="C109" s="4">
        <v>257</v>
      </c>
      <c r="D109" s="2" t="s">
        <v>74</v>
      </c>
      <c r="E109" s="6">
        <v>1</v>
      </c>
      <c r="F109" s="5">
        <v>0.3891</v>
      </c>
      <c r="G109" s="5">
        <v>0.1946</v>
      </c>
      <c r="H109" s="2" t="s">
        <v>91</v>
      </c>
      <c r="I109" s="2" t="s">
        <v>91</v>
      </c>
      <c r="J109" s="2" t="s">
        <v>91</v>
      </c>
      <c r="K109" s="2" t="s">
        <v>91</v>
      </c>
      <c r="L109" s="2" t="s">
        <v>91</v>
      </c>
      <c r="M109" s="2" t="s">
        <v>91</v>
      </c>
      <c r="N109" s="2" t="s">
        <v>91</v>
      </c>
      <c r="O109" s="2" t="s">
        <v>91</v>
      </c>
      <c r="P109" s="2" t="s">
        <v>91</v>
      </c>
      <c r="Q109" s="2" t="s">
        <v>91</v>
      </c>
      <c r="R109" s="2" t="s">
        <v>91</v>
      </c>
      <c r="S109" s="2" t="s">
        <v>91</v>
      </c>
      <c r="T109" s="2" t="s">
        <v>91</v>
      </c>
      <c r="U109" s="2" t="s">
        <v>91</v>
      </c>
      <c r="V109" s="2" t="s">
        <v>91</v>
      </c>
      <c r="W109" s="2" t="s">
        <v>91</v>
      </c>
      <c r="X109" s="2" t="s">
        <v>91</v>
      </c>
      <c r="Y109" s="2" t="s">
        <v>91</v>
      </c>
      <c r="Z109" s="2" t="s">
        <v>91</v>
      </c>
      <c r="AA109" s="2" t="s">
        <v>91</v>
      </c>
      <c r="AB109" s="2" t="s">
        <v>91</v>
      </c>
      <c r="AC109" s="2" t="s">
        <v>91</v>
      </c>
      <c r="AD109" s="2" t="s">
        <v>91</v>
      </c>
      <c r="AE109" s="2" t="s">
        <v>91</v>
      </c>
      <c r="AF109" s="2" t="s">
        <v>91</v>
      </c>
      <c r="AG109" s="2" t="s">
        <v>91</v>
      </c>
      <c r="AH109" s="2" t="s">
        <v>91</v>
      </c>
      <c r="AI109" s="2" t="s">
        <v>91</v>
      </c>
    </row>
    <row r="110" ht="16.5" hidden="1" spans="1:35">
      <c r="A110" s="2" t="s">
        <v>103</v>
      </c>
      <c r="B110" s="2" t="s">
        <v>105</v>
      </c>
      <c r="C110" s="4">
        <v>688</v>
      </c>
      <c r="D110" s="2" t="s">
        <v>19</v>
      </c>
      <c r="E110" s="4">
        <v>687</v>
      </c>
      <c r="F110" s="4">
        <v>234</v>
      </c>
      <c r="G110" s="2" t="s">
        <v>91</v>
      </c>
      <c r="H110" s="2" t="s">
        <v>91</v>
      </c>
      <c r="I110" s="2" t="s">
        <v>91</v>
      </c>
      <c r="J110" s="2" t="s">
        <v>91</v>
      </c>
      <c r="K110" s="2" t="s">
        <v>91</v>
      </c>
      <c r="L110" s="2" t="s">
        <v>91</v>
      </c>
      <c r="M110" s="2" t="s">
        <v>91</v>
      </c>
      <c r="N110" s="2" t="s">
        <v>91</v>
      </c>
      <c r="O110" s="2" t="s">
        <v>91</v>
      </c>
      <c r="P110" s="2" t="s">
        <v>91</v>
      </c>
      <c r="Q110" s="2" t="s">
        <v>91</v>
      </c>
      <c r="R110" s="2" t="s">
        <v>91</v>
      </c>
      <c r="S110" s="2" t="s">
        <v>91</v>
      </c>
      <c r="T110" s="2" t="s">
        <v>91</v>
      </c>
      <c r="U110" s="2" t="s">
        <v>91</v>
      </c>
      <c r="V110" s="2" t="s">
        <v>91</v>
      </c>
      <c r="W110" s="2" t="s">
        <v>91</v>
      </c>
      <c r="X110" s="2" t="s">
        <v>91</v>
      </c>
      <c r="Y110" s="2" t="s">
        <v>91</v>
      </c>
      <c r="Z110" s="2" t="s">
        <v>91</v>
      </c>
      <c r="AA110" s="2" t="s">
        <v>91</v>
      </c>
      <c r="AB110" s="2" t="s">
        <v>91</v>
      </c>
      <c r="AC110" s="2" t="s">
        <v>91</v>
      </c>
      <c r="AD110" s="2" t="s">
        <v>91</v>
      </c>
      <c r="AE110" s="2" t="s">
        <v>91</v>
      </c>
      <c r="AF110" s="2" t="s">
        <v>91</v>
      </c>
      <c r="AG110" s="2" t="s">
        <v>91</v>
      </c>
      <c r="AH110" s="2" t="s">
        <v>91</v>
      </c>
      <c r="AI110" s="2" t="s">
        <v>91</v>
      </c>
    </row>
    <row r="111" ht="16.5" hidden="1" spans="1:35">
      <c r="A111" s="2" t="s">
        <v>103</v>
      </c>
      <c r="B111" s="2" t="s">
        <v>105</v>
      </c>
      <c r="C111" s="4">
        <v>688</v>
      </c>
      <c r="D111" s="2" t="s">
        <v>74</v>
      </c>
      <c r="E111" s="5">
        <v>0.9985</v>
      </c>
      <c r="F111" s="5">
        <v>0.3401</v>
      </c>
      <c r="G111" s="2" t="s">
        <v>91</v>
      </c>
      <c r="H111" s="2" t="s">
        <v>91</v>
      </c>
      <c r="I111" s="2" t="s">
        <v>91</v>
      </c>
      <c r="J111" s="2" t="s">
        <v>91</v>
      </c>
      <c r="K111" s="2" t="s">
        <v>91</v>
      </c>
      <c r="L111" s="2" t="s">
        <v>91</v>
      </c>
      <c r="M111" s="2" t="s">
        <v>91</v>
      </c>
      <c r="N111" s="2" t="s">
        <v>91</v>
      </c>
      <c r="O111" s="2" t="s">
        <v>91</v>
      </c>
      <c r="P111" s="2" t="s">
        <v>91</v>
      </c>
      <c r="Q111" s="2" t="s">
        <v>91</v>
      </c>
      <c r="R111" s="2" t="s">
        <v>91</v>
      </c>
      <c r="S111" s="2" t="s">
        <v>91</v>
      </c>
      <c r="T111" s="2" t="s">
        <v>91</v>
      </c>
      <c r="U111" s="2" t="s">
        <v>91</v>
      </c>
      <c r="V111" s="2" t="s">
        <v>91</v>
      </c>
      <c r="W111" s="2" t="s">
        <v>91</v>
      </c>
      <c r="X111" s="2" t="s">
        <v>91</v>
      </c>
      <c r="Y111" s="2" t="s">
        <v>91</v>
      </c>
      <c r="Z111" s="2" t="s">
        <v>91</v>
      </c>
      <c r="AA111" s="2" t="s">
        <v>91</v>
      </c>
      <c r="AB111" s="2" t="s">
        <v>91</v>
      </c>
      <c r="AC111" s="2" t="s">
        <v>91</v>
      </c>
      <c r="AD111" s="2" t="s">
        <v>91</v>
      </c>
      <c r="AE111" s="2" t="s">
        <v>91</v>
      </c>
      <c r="AF111" s="2" t="s">
        <v>91</v>
      </c>
      <c r="AG111" s="2" t="s">
        <v>91</v>
      </c>
      <c r="AH111" s="2" t="s">
        <v>91</v>
      </c>
      <c r="AI111" s="2" t="s">
        <v>91</v>
      </c>
    </row>
    <row r="112" ht="16.5" hidden="1" spans="1:35">
      <c r="A112" s="2" t="s">
        <v>104</v>
      </c>
      <c r="B112" s="2" t="s">
        <v>105</v>
      </c>
      <c r="C112" s="4">
        <v>503</v>
      </c>
      <c r="D112" s="2" t="s">
        <v>19</v>
      </c>
      <c r="E112" s="4">
        <v>503</v>
      </c>
      <c r="F112" s="2" t="s">
        <v>91</v>
      </c>
      <c r="G112" s="2" t="s">
        <v>91</v>
      </c>
      <c r="H112" s="2" t="s">
        <v>91</v>
      </c>
      <c r="I112" s="2" t="s">
        <v>91</v>
      </c>
      <c r="J112" s="2" t="s">
        <v>91</v>
      </c>
      <c r="K112" s="2" t="s">
        <v>91</v>
      </c>
      <c r="L112" s="2" t="s">
        <v>91</v>
      </c>
      <c r="M112" s="2" t="s">
        <v>91</v>
      </c>
      <c r="N112" s="2" t="s">
        <v>91</v>
      </c>
      <c r="O112" s="2" t="s">
        <v>91</v>
      </c>
      <c r="P112" s="2" t="s">
        <v>91</v>
      </c>
      <c r="Q112" s="2" t="s">
        <v>91</v>
      </c>
      <c r="R112" s="2" t="s">
        <v>91</v>
      </c>
      <c r="S112" s="2" t="s">
        <v>91</v>
      </c>
      <c r="T112" s="2" t="s">
        <v>91</v>
      </c>
      <c r="U112" s="2" t="s">
        <v>91</v>
      </c>
      <c r="V112" s="2" t="s">
        <v>91</v>
      </c>
      <c r="W112" s="2" t="s">
        <v>91</v>
      </c>
      <c r="X112" s="2" t="s">
        <v>91</v>
      </c>
      <c r="Y112" s="2" t="s">
        <v>91</v>
      </c>
      <c r="Z112" s="2" t="s">
        <v>91</v>
      </c>
      <c r="AA112" s="2" t="s">
        <v>91</v>
      </c>
      <c r="AB112" s="2" t="s">
        <v>91</v>
      </c>
      <c r="AC112" s="2" t="s">
        <v>91</v>
      </c>
      <c r="AD112" s="2" t="s">
        <v>91</v>
      </c>
      <c r="AE112" s="2" t="s">
        <v>91</v>
      </c>
      <c r="AF112" s="2" t="s">
        <v>91</v>
      </c>
      <c r="AG112" s="2" t="s">
        <v>91</v>
      </c>
      <c r="AH112" s="2" t="s">
        <v>91</v>
      </c>
      <c r="AI112" s="2" t="s">
        <v>91</v>
      </c>
    </row>
    <row r="113" ht="16.5" hidden="1" spans="1:35">
      <c r="A113" s="2" t="s">
        <v>104</v>
      </c>
      <c r="B113" s="2" t="s">
        <v>105</v>
      </c>
      <c r="C113" s="4">
        <v>503</v>
      </c>
      <c r="D113" s="2" t="s">
        <v>74</v>
      </c>
      <c r="E113" s="6">
        <v>1</v>
      </c>
      <c r="F113" s="2" t="s">
        <v>91</v>
      </c>
      <c r="G113" s="2" t="s">
        <v>91</v>
      </c>
      <c r="H113" s="2" t="s">
        <v>91</v>
      </c>
      <c r="I113" s="2" t="s">
        <v>91</v>
      </c>
      <c r="J113" s="2" t="s">
        <v>91</v>
      </c>
      <c r="K113" s="2" t="s">
        <v>91</v>
      </c>
      <c r="L113" s="2" t="s">
        <v>91</v>
      </c>
      <c r="M113" s="2" t="s">
        <v>91</v>
      </c>
      <c r="N113" s="2" t="s">
        <v>91</v>
      </c>
      <c r="O113" s="2" t="s">
        <v>91</v>
      </c>
      <c r="P113" s="2" t="s">
        <v>91</v>
      </c>
      <c r="Q113" s="2" t="s">
        <v>91</v>
      </c>
      <c r="R113" s="2" t="s">
        <v>91</v>
      </c>
      <c r="S113" s="2" t="s">
        <v>91</v>
      </c>
      <c r="T113" s="2" t="s">
        <v>91</v>
      </c>
      <c r="U113" s="2" t="s">
        <v>91</v>
      </c>
      <c r="V113" s="2" t="s">
        <v>91</v>
      </c>
      <c r="W113" s="2" t="s">
        <v>91</v>
      </c>
      <c r="X113" s="2" t="s">
        <v>91</v>
      </c>
      <c r="Y113" s="2" t="s">
        <v>91</v>
      </c>
      <c r="Z113" s="2" t="s">
        <v>91</v>
      </c>
      <c r="AA113" s="2" t="s">
        <v>91</v>
      </c>
      <c r="AB113" s="2" t="s">
        <v>91</v>
      </c>
      <c r="AC113" s="2" t="s">
        <v>91</v>
      </c>
      <c r="AD113" s="2" t="s">
        <v>91</v>
      </c>
      <c r="AE113" s="2" t="s">
        <v>91</v>
      </c>
      <c r="AF113" s="2" t="s">
        <v>91</v>
      </c>
      <c r="AG113" s="2" t="s">
        <v>91</v>
      </c>
      <c r="AH113" s="2" t="s">
        <v>91</v>
      </c>
      <c r="AI113" s="2" t="s">
        <v>91</v>
      </c>
    </row>
    <row r="114" ht="16.5" hidden="1" spans="1:35">
      <c r="A114" s="2" t="s">
        <v>72</v>
      </c>
      <c r="B114" s="2" t="s">
        <v>18</v>
      </c>
      <c r="C114" s="4">
        <v>5072</v>
      </c>
      <c r="D114" s="2" t="s">
        <v>19</v>
      </c>
      <c r="E114" s="4">
        <v>5069</v>
      </c>
      <c r="F114" s="7">
        <v>1879</v>
      </c>
      <c r="G114" s="7">
        <v>1107</v>
      </c>
      <c r="H114" s="4">
        <v>757</v>
      </c>
      <c r="I114" s="7">
        <v>544</v>
      </c>
      <c r="J114" s="4">
        <v>428</v>
      </c>
      <c r="K114" s="7">
        <v>346</v>
      </c>
      <c r="L114" s="4">
        <v>245</v>
      </c>
      <c r="M114" s="4">
        <v>210</v>
      </c>
      <c r="N114" s="4">
        <v>153</v>
      </c>
      <c r="O114" s="4">
        <v>96</v>
      </c>
      <c r="P114" s="4">
        <v>63</v>
      </c>
      <c r="Q114" s="4">
        <v>49</v>
      </c>
      <c r="R114" s="4">
        <v>30</v>
      </c>
      <c r="S114" s="4">
        <v>8</v>
      </c>
      <c r="T114" s="4">
        <v>2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</row>
    <row r="115" ht="16.5" hidden="1" spans="1:35">
      <c r="A115" s="2" t="s">
        <v>72</v>
      </c>
      <c r="B115" s="2" t="s">
        <v>18</v>
      </c>
      <c r="C115" s="4">
        <v>5072</v>
      </c>
      <c r="D115" s="2" t="s">
        <v>74</v>
      </c>
      <c r="E115" s="5">
        <v>0.9994</v>
      </c>
      <c r="F115" s="5">
        <v>0.3719</v>
      </c>
      <c r="G115" s="5">
        <v>0.231</v>
      </c>
      <c r="H115" s="5">
        <v>0.1728</v>
      </c>
      <c r="I115" s="5">
        <v>0.1336</v>
      </c>
      <c r="J115" s="5">
        <v>0.1129</v>
      </c>
      <c r="K115" s="5">
        <v>0.0983</v>
      </c>
      <c r="L115" s="5">
        <v>0.0781</v>
      </c>
      <c r="M115" s="5">
        <v>0.075</v>
      </c>
      <c r="N115" s="5">
        <v>0.0632</v>
      </c>
      <c r="O115" s="5">
        <v>0.0523</v>
      </c>
      <c r="P115" s="5">
        <v>0.0445</v>
      </c>
      <c r="Q115" s="5">
        <v>0.047</v>
      </c>
      <c r="R115" s="5">
        <v>0.0435</v>
      </c>
      <c r="S115" s="5">
        <v>0.021</v>
      </c>
      <c r="T115" s="5">
        <v>0.0141</v>
      </c>
      <c r="U115" s="6">
        <v>0</v>
      </c>
      <c r="V115" s="6">
        <v>0</v>
      </c>
      <c r="W115" s="2" t="s">
        <v>91</v>
      </c>
      <c r="X115" s="2" t="s">
        <v>91</v>
      </c>
      <c r="Y115" s="2" t="s">
        <v>91</v>
      </c>
      <c r="Z115" s="2" t="s">
        <v>91</v>
      </c>
      <c r="AA115" s="2" t="s">
        <v>91</v>
      </c>
      <c r="AB115" s="2" t="s">
        <v>91</v>
      </c>
      <c r="AC115" s="2" t="s">
        <v>91</v>
      </c>
      <c r="AD115" s="2" t="s">
        <v>91</v>
      </c>
      <c r="AE115" s="2" t="s">
        <v>91</v>
      </c>
      <c r="AF115" s="2" t="s">
        <v>91</v>
      </c>
      <c r="AG115" s="2" t="s">
        <v>91</v>
      </c>
      <c r="AH115" s="2" t="s">
        <v>91</v>
      </c>
      <c r="AI115" s="2" t="s">
        <v>91</v>
      </c>
    </row>
    <row r="116" ht="16.5" hidden="1" spans="1:35">
      <c r="A116" s="2" t="s">
        <v>41</v>
      </c>
      <c r="B116" s="2" t="s">
        <v>18</v>
      </c>
      <c r="C116" s="4">
        <v>3</v>
      </c>
      <c r="D116" s="2" t="s">
        <v>74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2" t="s">
        <v>91</v>
      </c>
      <c r="Y116" s="2" t="s">
        <v>91</v>
      </c>
      <c r="Z116" s="2" t="s">
        <v>91</v>
      </c>
      <c r="AA116" s="2" t="s">
        <v>91</v>
      </c>
      <c r="AB116" s="2" t="s">
        <v>91</v>
      </c>
      <c r="AC116" s="2" t="s">
        <v>91</v>
      </c>
      <c r="AD116" s="2" t="s">
        <v>91</v>
      </c>
      <c r="AE116" s="2" t="s">
        <v>91</v>
      </c>
      <c r="AF116" s="2" t="s">
        <v>91</v>
      </c>
      <c r="AG116" s="2" t="s">
        <v>91</v>
      </c>
      <c r="AH116" s="2" t="s">
        <v>91</v>
      </c>
      <c r="AI116" s="2" t="s">
        <v>91</v>
      </c>
    </row>
    <row r="117" ht="16.5" hidden="1" spans="1:35">
      <c r="A117" s="2" t="s">
        <v>43</v>
      </c>
      <c r="B117" s="2" t="s">
        <v>18</v>
      </c>
      <c r="C117" s="4">
        <v>139</v>
      </c>
      <c r="D117" s="2" t="s">
        <v>19</v>
      </c>
      <c r="E117" s="4">
        <v>139</v>
      </c>
      <c r="F117" s="7">
        <v>58</v>
      </c>
      <c r="G117" s="7">
        <v>37</v>
      </c>
      <c r="H117" s="4">
        <v>23</v>
      </c>
      <c r="I117" s="7">
        <v>16</v>
      </c>
      <c r="J117" s="4">
        <v>18</v>
      </c>
      <c r="K117" s="7">
        <v>15</v>
      </c>
      <c r="L117" s="4">
        <v>15</v>
      </c>
      <c r="M117" s="4">
        <v>8</v>
      </c>
      <c r="N117" s="4">
        <v>8</v>
      </c>
      <c r="O117" s="4">
        <v>6</v>
      </c>
      <c r="P117" s="4">
        <v>1</v>
      </c>
      <c r="Q117" s="4">
        <v>3</v>
      </c>
      <c r="R117" s="4">
        <v>1</v>
      </c>
      <c r="S117" s="4">
        <v>1</v>
      </c>
      <c r="T117" s="4">
        <v>2</v>
      </c>
      <c r="U117" s="4">
        <v>0</v>
      </c>
      <c r="V117" s="2" t="s">
        <v>91</v>
      </c>
      <c r="W117" s="2" t="s">
        <v>91</v>
      </c>
      <c r="X117" s="2" t="s">
        <v>91</v>
      </c>
      <c r="Y117" s="2" t="s">
        <v>91</v>
      </c>
      <c r="Z117" s="2" t="s">
        <v>91</v>
      </c>
      <c r="AA117" s="2" t="s">
        <v>91</v>
      </c>
      <c r="AB117" s="2" t="s">
        <v>91</v>
      </c>
      <c r="AC117" s="2" t="s">
        <v>91</v>
      </c>
      <c r="AD117" s="2" t="s">
        <v>91</v>
      </c>
      <c r="AE117" s="2" t="s">
        <v>91</v>
      </c>
      <c r="AF117" s="2" t="s">
        <v>91</v>
      </c>
      <c r="AG117" s="2" t="s">
        <v>91</v>
      </c>
      <c r="AH117" s="2" t="s">
        <v>91</v>
      </c>
      <c r="AI117" s="2" t="s">
        <v>91</v>
      </c>
    </row>
    <row r="118" ht="16.5" hidden="1" spans="1:35">
      <c r="A118" s="2" t="s">
        <v>43</v>
      </c>
      <c r="B118" s="2" t="s">
        <v>18</v>
      </c>
      <c r="C118" s="4">
        <v>139</v>
      </c>
      <c r="D118" s="2" t="s">
        <v>74</v>
      </c>
      <c r="E118" s="6">
        <v>1</v>
      </c>
      <c r="F118" s="5">
        <v>0.4173</v>
      </c>
      <c r="G118" s="5">
        <v>0.2662</v>
      </c>
      <c r="H118" s="5">
        <v>0.1655</v>
      </c>
      <c r="I118" s="5">
        <v>0.1151</v>
      </c>
      <c r="J118" s="5">
        <v>0.1295</v>
      </c>
      <c r="K118" s="5">
        <v>0.1079</v>
      </c>
      <c r="L118" s="5">
        <v>0.1079</v>
      </c>
      <c r="M118" s="5">
        <v>0.0576</v>
      </c>
      <c r="N118" s="5">
        <v>0.0576</v>
      </c>
      <c r="O118" s="5">
        <v>0.0432</v>
      </c>
      <c r="P118" s="5">
        <v>0.0072</v>
      </c>
      <c r="Q118" s="5">
        <v>0.0216</v>
      </c>
      <c r="R118" s="5">
        <v>0.0072</v>
      </c>
      <c r="S118" s="5">
        <v>0.0072</v>
      </c>
      <c r="T118" s="5">
        <v>0.0144</v>
      </c>
      <c r="U118" s="6">
        <v>0</v>
      </c>
      <c r="V118" s="2" t="s">
        <v>91</v>
      </c>
      <c r="W118" s="2" t="s">
        <v>91</v>
      </c>
      <c r="X118" s="2" t="s">
        <v>91</v>
      </c>
      <c r="Y118" s="2" t="s">
        <v>91</v>
      </c>
      <c r="Z118" s="2" t="s">
        <v>91</v>
      </c>
      <c r="AA118" s="2" t="s">
        <v>91</v>
      </c>
      <c r="AB118" s="2" t="s">
        <v>91</v>
      </c>
      <c r="AC118" s="2" t="s">
        <v>91</v>
      </c>
      <c r="AD118" s="2" t="s">
        <v>91</v>
      </c>
      <c r="AE118" s="2" t="s">
        <v>91</v>
      </c>
      <c r="AF118" s="2" t="s">
        <v>91</v>
      </c>
      <c r="AG118" s="2" t="s">
        <v>91</v>
      </c>
      <c r="AH118" s="2" t="s">
        <v>91</v>
      </c>
      <c r="AI118" s="2" t="s">
        <v>91</v>
      </c>
    </row>
    <row r="119" ht="16.5" hidden="1" spans="1:35">
      <c r="A119" s="2" t="s">
        <v>97</v>
      </c>
      <c r="B119" s="2" t="s">
        <v>18</v>
      </c>
      <c r="C119" s="4">
        <v>239</v>
      </c>
      <c r="D119" s="2" t="s">
        <v>19</v>
      </c>
      <c r="E119" s="4">
        <v>239</v>
      </c>
      <c r="F119" s="7">
        <v>93</v>
      </c>
      <c r="G119" s="7">
        <v>53</v>
      </c>
      <c r="H119" s="4">
        <v>47</v>
      </c>
      <c r="I119" s="7">
        <v>37</v>
      </c>
      <c r="J119" s="4">
        <v>30</v>
      </c>
      <c r="K119" s="7">
        <v>28</v>
      </c>
      <c r="L119" s="4">
        <v>20</v>
      </c>
      <c r="M119" s="4">
        <v>24</v>
      </c>
      <c r="N119" s="4">
        <v>13</v>
      </c>
      <c r="O119" s="4">
        <v>13</v>
      </c>
      <c r="P119" s="4">
        <v>10</v>
      </c>
      <c r="Q119" s="4">
        <v>12</v>
      </c>
      <c r="R119" s="4">
        <v>9</v>
      </c>
      <c r="S119" s="4">
        <v>7</v>
      </c>
      <c r="T119" s="4">
        <v>7</v>
      </c>
      <c r="U119" s="2" t="s">
        <v>91</v>
      </c>
      <c r="V119" s="2" t="s">
        <v>91</v>
      </c>
      <c r="W119" s="2" t="s">
        <v>91</v>
      </c>
      <c r="X119" s="2" t="s">
        <v>91</v>
      </c>
      <c r="Y119" s="2" t="s">
        <v>91</v>
      </c>
      <c r="Z119" s="2" t="s">
        <v>91</v>
      </c>
      <c r="AA119" s="2" t="s">
        <v>91</v>
      </c>
      <c r="AB119" s="2" t="s">
        <v>91</v>
      </c>
      <c r="AC119" s="2" t="s">
        <v>91</v>
      </c>
      <c r="AD119" s="2" t="s">
        <v>91</v>
      </c>
      <c r="AE119" s="2" t="s">
        <v>91</v>
      </c>
      <c r="AF119" s="2" t="s">
        <v>91</v>
      </c>
      <c r="AG119" s="2" t="s">
        <v>91</v>
      </c>
      <c r="AH119" s="2" t="s">
        <v>91</v>
      </c>
      <c r="AI119" s="2" t="s">
        <v>91</v>
      </c>
    </row>
    <row r="120" ht="16.5" hidden="1" spans="1:35">
      <c r="A120" s="2" t="s">
        <v>97</v>
      </c>
      <c r="B120" s="2" t="s">
        <v>18</v>
      </c>
      <c r="C120" s="4">
        <v>239</v>
      </c>
      <c r="D120" s="2" t="s">
        <v>74</v>
      </c>
      <c r="E120" s="6">
        <v>1</v>
      </c>
      <c r="F120" s="5">
        <v>0.3891</v>
      </c>
      <c r="G120" s="5">
        <v>0.2218</v>
      </c>
      <c r="H120" s="5">
        <v>0.1967</v>
      </c>
      <c r="I120" s="5">
        <v>0.1548</v>
      </c>
      <c r="J120" s="5">
        <v>0.1255</v>
      </c>
      <c r="K120" s="5">
        <v>0.1172</v>
      </c>
      <c r="L120" s="5">
        <v>0.0837</v>
      </c>
      <c r="M120" s="5">
        <v>0.1004</v>
      </c>
      <c r="N120" s="5">
        <v>0.0544</v>
      </c>
      <c r="O120" s="5">
        <v>0.0544</v>
      </c>
      <c r="P120" s="5">
        <v>0.0418</v>
      </c>
      <c r="Q120" s="5">
        <v>0.0502</v>
      </c>
      <c r="R120" s="5">
        <v>0.0377</v>
      </c>
      <c r="S120" s="5">
        <v>0.0293</v>
      </c>
      <c r="T120" s="5">
        <v>0.0293</v>
      </c>
      <c r="U120" s="2" t="s">
        <v>91</v>
      </c>
      <c r="V120" s="2" t="s">
        <v>91</v>
      </c>
      <c r="W120" s="2" t="s">
        <v>91</v>
      </c>
      <c r="X120" s="2" t="s">
        <v>91</v>
      </c>
      <c r="Y120" s="2" t="s">
        <v>91</v>
      </c>
      <c r="Z120" s="2" t="s">
        <v>91</v>
      </c>
      <c r="AA120" s="2" t="s">
        <v>91</v>
      </c>
      <c r="AB120" s="2" t="s">
        <v>91</v>
      </c>
      <c r="AC120" s="2" t="s">
        <v>91</v>
      </c>
      <c r="AD120" s="2" t="s">
        <v>91</v>
      </c>
      <c r="AE120" s="2" t="s">
        <v>91</v>
      </c>
      <c r="AF120" s="2" t="s">
        <v>91</v>
      </c>
      <c r="AG120" s="2" t="s">
        <v>91</v>
      </c>
      <c r="AH120" s="2" t="s">
        <v>91</v>
      </c>
      <c r="AI120" s="2" t="s">
        <v>91</v>
      </c>
    </row>
    <row r="121" ht="16.5" hidden="1" spans="1:35">
      <c r="A121" s="2" t="s">
        <v>17</v>
      </c>
      <c r="B121" s="2" t="s">
        <v>18</v>
      </c>
      <c r="C121" s="4">
        <v>308</v>
      </c>
      <c r="D121" s="2" t="s">
        <v>19</v>
      </c>
      <c r="E121" s="4">
        <v>308</v>
      </c>
      <c r="F121" s="7">
        <v>117</v>
      </c>
      <c r="G121" s="7">
        <v>79</v>
      </c>
      <c r="H121" s="4">
        <v>55</v>
      </c>
      <c r="I121" s="7">
        <v>49</v>
      </c>
      <c r="J121" s="4">
        <v>51</v>
      </c>
      <c r="K121" s="7">
        <v>41</v>
      </c>
      <c r="L121" s="4">
        <v>30</v>
      </c>
      <c r="M121" s="4">
        <v>32</v>
      </c>
      <c r="N121" s="4">
        <v>34</v>
      </c>
      <c r="O121" s="4">
        <v>24</v>
      </c>
      <c r="P121" s="4">
        <v>14</v>
      </c>
      <c r="Q121" s="4">
        <v>19</v>
      </c>
      <c r="R121" s="4">
        <v>20</v>
      </c>
      <c r="S121" s="4">
        <v>12</v>
      </c>
      <c r="T121" s="2" t="s">
        <v>91</v>
      </c>
      <c r="U121" s="2" t="s">
        <v>91</v>
      </c>
      <c r="V121" s="2" t="s">
        <v>91</v>
      </c>
      <c r="W121" s="2" t="s">
        <v>91</v>
      </c>
      <c r="X121" s="2" t="s">
        <v>91</v>
      </c>
      <c r="Y121" s="2" t="s">
        <v>91</v>
      </c>
      <c r="Z121" s="2" t="s">
        <v>91</v>
      </c>
      <c r="AA121" s="2" t="s">
        <v>91</v>
      </c>
      <c r="AB121" s="2" t="s">
        <v>91</v>
      </c>
      <c r="AC121" s="2" t="s">
        <v>91</v>
      </c>
      <c r="AD121" s="2" t="s">
        <v>91</v>
      </c>
      <c r="AE121" s="2" t="s">
        <v>91</v>
      </c>
      <c r="AF121" s="2" t="s">
        <v>91</v>
      </c>
      <c r="AG121" s="2" t="s">
        <v>91</v>
      </c>
      <c r="AH121" s="2" t="s">
        <v>91</v>
      </c>
      <c r="AI121" s="2" t="s">
        <v>91</v>
      </c>
    </row>
    <row r="122" ht="16.5" hidden="1" spans="1:35">
      <c r="A122" s="2" t="s">
        <v>17</v>
      </c>
      <c r="B122" s="2" t="s">
        <v>18</v>
      </c>
      <c r="C122" s="4">
        <v>308</v>
      </c>
      <c r="D122" s="2" t="s">
        <v>74</v>
      </c>
      <c r="E122" s="6">
        <v>1</v>
      </c>
      <c r="F122" s="5">
        <v>0.3799</v>
      </c>
      <c r="G122" s="5">
        <v>0.2565</v>
      </c>
      <c r="H122" s="5">
        <v>0.1786</v>
      </c>
      <c r="I122" s="5">
        <v>0.1591</v>
      </c>
      <c r="J122" s="5">
        <v>0.1656</v>
      </c>
      <c r="K122" s="5">
        <v>0.1331</v>
      </c>
      <c r="L122" s="5">
        <v>0.0974</v>
      </c>
      <c r="M122" s="5">
        <v>0.1039</v>
      </c>
      <c r="N122" s="5">
        <v>0.1104</v>
      </c>
      <c r="O122" s="5">
        <v>0.0779</v>
      </c>
      <c r="P122" s="5">
        <v>0.0455</v>
      </c>
      <c r="Q122" s="5">
        <v>0.0617</v>
      </c>
      <c r="R122" s="5">
        <v>0.0649</v>
      </c>
      <c r="S122" s="5">
        <v>0.039</v>
      </c>
      <c r="T122" s="2" t="s">
        <v>91</v>
      </c>
      <c r="U122" s="2" t="s">
        <v>91</v>
      </c>
      <c r="V122" s="2" t="s">
        <v>91</v>
      </c>
      <c r="W122" s="2" t="s">
        <v>91</v>
      </c>
      <c r="X122" s="2" t="s">
        <v>91</v>
      </c>
      <c r="Y122" s="2" t="s">
        <v>91</v>
      </c>
      <c r="Z122" s="2" t="s">
        <v>91</v>
      </c>
      <c r="AA122" s="2" t="s">
        <v>91</v>
      </c>
      <c r="AB122" s="2" t="s">
        <v>91</v>
      </c>
      <c r="AC122" s="2" t="s">
        <v>91</v>
      </c>
      <c r="AD122" s="2" t="s">
        <v>91</v>
      </c>
      <c r="AE122" s="2" t="s">
        <v>91</v>
      </c>
      <c r="AF122" s="2" t="s">
        <v>91</v>
      </c>
      <c r="AG122" s="2" t="s">
        <v>91</v>
      </c>
      <c r="AH122" s="2" t="s">
        <v>91</v>
      </c>
      <c r="AI122" s="2" t="s">
        <v>91</v>
      </c>
    </row>
    <row r="123" ht="16.5" hidden="1" spans="1:35">
      <c r="A123" s="2" t="s">
        <v>21</v>
      </c>
      <c r="B123" s="2" t="s">
        <v>18</v>
      </c>
      <c r="C123" s="4">
        <v>354</v>
      </c>
      <c r="D123" s="2" t="s">
        <v>19</v>
      </c>
      <c r="E123" s="4">
        <v>354</v>
      </c>
      <c r="F123" s="7">
        <v>137</v>
      </c>
      <c r="G123" s="7">
        <v>93</v>
      </c>
      <c r="H123" s="4">
        <v>68</v>
      </c>
      <c r="I123" s="7">
        <v>58</v>
      </c>
      <c r="J123" s="4">
        <v>51</v>
      </c>
      <c r="K123" s="7">
        <v>34</v>
      </c>
      <c r="L123" s="4">
        <v>33</v>
      </c>
      <c r="M123" s="4">
        <v>22</v>
      </c>
      <c r="N123" s="4">
        <v>20</v>
      </c>
      <c r="O123" s="4">
        <v>15</v>
      </c>
      <c r="P123" s="4">
        <v>16</v>
      </c>
      <c r="Q123" s="4">
        <v>15</v>
      </c>
      <c r="R123" s="4">
        <v>9</v>
      </c>
      <c r="S123" s="2" t="s">
        <v>91</v>
      </c>
      <c r="T123" s="2" t="s">
        <v>91</v>
      </c>
      <c r="U123" s="2" t="s">
        <v>91</v>
      </c>
      <c r="V123" s="2" t="s">
        <v>91</v>
      </c>
      <c r="W123" s="2" t="s">
        <v>91</v>
      </c>
      <c r="X123" s="2" t="s">
        <v>91</v>
      </c>
      <c r="Y123" s="2" t="s">
        <v>91</v>
      </c>
      <c r="Z123" s="2" t="s">
        <v>91</v>
      </c>
      <c r="AA123" s="2" t="s">
        <v>91</v>
      </c>
      <c r="AB123" s="2" t="s">
        <v>91</v>
      </c>
      <c r="AC123" s="2" t="s">
        <v>91</v>
      </c>
      <c r="AD123" s="2" t="s">
        <v>91</v>
      </c>
      <c r="AE123" s="2" t="s">
        <v>91</v>
      </c>
      <c r="AF123" s="2" t="s">
        <v>91</v>
      </c>
      <c r="AG123" s="2" t="s">
        <v>91</v>
      </c>
      <c r="AH123" s="2" t="s">
        <v>91</v>
      </c>
      <c r="AI123" s="2" t="s">
        <v>91</v>
      </c>
    </row>
    <row r="124" ht="16.5" hidden="1" spans="1:35">
      <c r="A124" s="2" t="s">
        <v>21</v>
      </c>
      <c r="B124" s="2" t="s">
        <v>18</v>
      </c>
      <c r="C124" s="4">
        <v>354</v>
      </c>
      <c r="D124" s="2" t="s">
        <v>74</v>
      </c>
      <c r="E124" s="6">
        <v>1</v>
      </c>
      <c r="F124" s="5">
        <v>0.387</v>
      </c>
      <c r="G124" s="5">
        <v>0.2627</v>
      </c>
      <c r="H124" s="5">
        <v>0.1921</v>
      </c>
      <c r="I124" s="5">
        <v>0.1638</v>
      </c>
      <c r="J124" s="5">
        <v>0.1441</v>
      </c>
      <c r="K124" s="5">
        <v>0.096</v>
      </c>
      <c r="L124" s="5">
        <v>0.0932</v>
      </c>
      <c r="M124" s="5">
        <v>0.0621</v>
      </c>
      <c r="N124" s="5">
        <v>0.0565</v>
      </c>
      <c r="O124" s="5">
        <v>0.0424</v>
      </c>
      <c r="P124" s="5">
        <v>0.0452</v>
      </c>
      <c r="Q124" s="5">
        <v>0.0424</v>
      </c>
      <c r="R124" s="5">
        <v>0.0254</v>
      </c>
      <c r="S124" s="2" t="s">
        <v>91</v>
      </c>
      <c r="T124" s="2" t="s">
        <v>91</v>
      </c>
      <c r="U124" s="2" t="s">
        <v>91</v>
      </c>
      <c r="V124" s="2" t="s">
        <v>91</v>
      </c>
      <c r="W124" s="2" t="s">
        <v>91</v>
      </c>
      <c r="X124" s="2" t="s">
        <v>91</v>
      </c>
      <c r="Y124" s="2" t="s">
        <v>91</v>
      </c>
      <c r="Z124" s="2" t="s">
        <v>91</v>
      </c>
      <c r="AA124" s="2" t="s">
        <v>91</v>
      </c>
      <c r="AB124" s="2" t="s">
        <v>91</v>
      </c>
      <c r="AC124" s="2" t="s">
        <v>91</v>
      </c>
      <c r="AD124" s="2" t="s">
        <v>91</v>
      </c>
      <c r="AE124" s="2" t="s">
        <v>91</v>
      </c>
      <c r="AF124" s="2" t="s">
        <v>91</v>
      </c>
      <c r="AG124" s="2" t="s">
        <v>91</v>
      </c>
      <c r="AH124" s="2" t="s">
        <v>91</v>
      </c>
      <c r="AI124" s="2" t="s">
        <v>91</v>
      </c>
    </row>
    <row r="125" ht="16.5" hidden="1" spans="1:35">
      <c r="A125" s="2" t="s">
        <v>23</v>
      </c>
      <c r="B125" s="2" t="s">
        <v>18</v>
      </c>
      <c r="C125" s="4">
        <v>374</v>
      </c>
      <c r="D125" s="2" t="s">
        <v>19</v>
      </c>
      <c r="E125" s="4">
        <v>374</v>
      </c>
      <c r="F125" s="7">
        <v>142</v>
      </c>
      <c r="G125" s="7">
        <v>89</v>
      </c>
      <c r="H125" s="4">
        <v>76</v>
      </c>
      <c r="I125" s="7">
        <v>58</v>
      </c>
      <c r="J125" s="4">
        <v>46</v>
      </c>
      <c r="K125" s="7">
        <v>32</v>
      </c>
      <c r="L125" s="4">
        <v>32</v>
      </c>
      <c r="M125" s="4">
        <v>29</v>
      </c>
      <c r="N125" s="4">
        <v>24</v>
      </c>
      <c r="O125" s="4">
        <v>19</v>
      </c>
      <c r="P125" s="4">
        <v>22</v>
      </c>
      <c r="Q125" s="4">
        <v>18</v>
      </c>
      <c r="R125" s="2" t="s">
        <v>91</v>
      </c>
      <c r="S125" s="2" t="s">
        <v>91</v>
      </c>
      <c r="T125" s="2" t="s">
        <v>91</v>
      </c>
      <c r="U125" s="2" t="s">
        <v>91</v>
      </c>
      <c r="V125" s="2" t="s">
        <v>91</v>
      </c>
      <c r="W125" s="2" t="s">
        <v>91</v>
      </c>
      <c r="X125" s="2" t="s">
        <v>91</v>
      </c>
      <c r="Y125" s="2" t="s">
        <v>91</v>
      </c>
      <c r="Z125" s="2" t="s">
        <v>91</v>
      </c>
      <c r="AA125" s="2" t="s">
        <v>91</v>
      </c>
      <c r="AB125" s="2" t="s">
        <v>91</v>
      </c>
      <c r="AC125" s="2" t="s">
        <v>91</v>
      </c>
      <c r="AD125" s="2" t="s">
        <v>91</v>
      </c>
      <c r="AE125" s="2" t="s">
        <v>91</v>
      </c>
      <c r="AF125" s="2" t="s">
        <v>91</v>
      </c>
      <c r="AG125" s="2" t="s">
        <v>91</v>
      </c>
      <c r="AH125" s="2" t="s">
        <v>91</v>
      </c>
      <c r="AI125" s="2" t="s">
        <v>91</v>
      </c>
    </row>
    <row r="126" ht="16.5" hidden="1" spans="1:35">
      <c r="A126" s="2" t="s">
        <v>23</v>
      </c>
      <c r="B126" s="2" t="s">
        <v>18</v>
      </c>
      <c r="C126" s="4">
        <v>374</v>
      </c>
      <c r="D126" s="2" t="s">
        <v>74</v>
      </c>
      <c r="E126" s="6">
        <v>1</v>
      </c>
      <c r="F126" s="5">
        <v>0.3797</v>
      </c>
      <c r="G126" s="5">
        <v>0.238</v>
      </c>
      <c r="H126" s="5">
        <v>0.2032</v>
      </c>
      <c r="I126" s="5">
        <v>0.1551</v>
      </c>
      <c r="J126" s="5">
        <v>0.123</v>
      </c>
      <c r="K126" s="5">
        <v>0.0856</v>
      </c>
      <c r="L126" s="5">
        <v>0.0856</v>
      </c>
      <c r="M126" s="5">
        <v>0.0775</v>
      </c>
      <c r="N126" s="5">
        <v>0.0642</v>
      </c>
      <c r="O126" s="5">
        <v>0.0508</v>
      </c>
      <c r="P126" s="5">
        <v>0.0588</v>
      </c>
      <c r="Q126" s="5">
        <v>0.0481</v>
      </c>
      <c r="R126" s="2" t="s">
        <v>91</v>
      </c>
      <c r="S126" s="2" t="s">
        <v>91</v>
      </c>
      <c r="T126" s="2" t="s">
        <v>91</v>
      </c>
      <c r="U126" s="2" t="s">
        <v>91</v>
      </c>
      <c r="V126" s="2" t="s">
        <v>91</v>
      </c>
      <c r="W126" s="2" t="s">
        <v>91</v>
      </c>
      <c r="X126" s="2" t="s">
        <v>91</v>
      </c>
      <c r="Y126" s="2" t="s">
        <v>91</v>
      </c>
      <c r="Z126" s="2" t="s">
        <v>91</v>
      </c>
      <c r="AA126" s="2" t="s">
        <v>91</v>
      </c>
      <c r="AB126" s="2" t="s">
        <v>91</v>
      </c>
      <c r="AC126" s="2" t="s">
        <v>91</v>
      </c>
      <c r="AD126" s="2" t="s">
        <v>91</v>
      </c>
      <c r="AE126" s="2" t="s">
        <v>91</v>
      </c>
      <c r="AF126" s="2" t="s">
        <v>91</v>
      </c>
      <c r="AG126" s="2" t="s">
        <v>91</v>
      </c>
      <c r="AH126" s="2" t="s">
        <v>91</v>
      </c>
      <c r="AI126" s="2" t="s">
        <v>91</v>
      </c>
    </row>
    <row r="127" ht="16.5" hidden="1" spans="1:35">
      <c r="A127" s="2" t="s">
        <v>24</v>
      </c>
      <c r="B127" s="2" t="s">
        <v>18</v>
      </c>
      <c r="C127" s="4">
        <v>420</v>
      </c>
      <c r="D127" s="2" t="s">
        <v>19</v>
      </c>
      <c r="E127" s="4">
        <v>419</v>
      </c>
      <c r="F127" s="7">
        <v>131</v>
      </c>
      <c r="G127" s="7">
        <v>69</v>
      </c>
      <c r="H127" s="4">
        <v>59</v>
      </c>
      <c r="I127" s="7">
        <v>44</v>
      </c>
      <c r="J127" s="4">
        <v>33</v>
      </c>
      <c r="K127" s="7">
        <v>33</v>
      </c>
      <c r="L127" s="4">
        <v>19</v>
      </c>
      <c r="M127" s="4">
        <v>25</v>
      </c>
      <c r="N127" s="4">
        <v>22</v>
      </c>
      <c r="O127" s="4">
        <v>19</v>
      </c>
      <c r="P127" s="4">
        <v>8</v>
      </c>
      <c r="Q127" s="2" t="s">
        <v>91</v>
      </c>
      <c r="R127" s="2" t="s">
        <v>91</v>
      </c>
      <c r="S127" s="2" t="s">
        <v>91</v>
      </c>
      <c r="T127" s="2" t="s">
        <v>91</v>
      </c>
      <c r="U127" s="2" t="s">
        <v>91</v>
      </c>
      <c r="V127" s="2" t="s">
        <v>91</v>
      </c>
      <c r="W127" s="2" t="s">
        <v>91</v>
      </c>
      <c r="X127" s="2" t="s">
        <v>91</v>
      </c>
      <c r="Y127" s="2" t="s">
        <v>91</v>
      </c>
      <c r="Z127" s="2" t="s">
        <v>91</v>
      </c>
      <c r="AA127" s="2" t="s">
        <v>91</v>
      </c>
      <c r="AB127" s="2" t="s">
        <v>91</v>
      </c>
      <c r="AC127" s="2" t="s">
        <v>91</v>
      </c>
      <c r="AD127" s="2" t="s">
        <v>91</v>
      </c>
      <c r="AE127" s="2" t="s">
        <v>91</v>
      </c>
      <c r="AF127" s="2" t="s">
        <v>91</v>
      </c>
      <c r="AG127" s="2" t="s">
        <v>91</v>
      </c>
      <c r="AH127" s="2" t="s">
        <v>91</v>
      </c>
      <c r="AI127" s="2" t="s">
        <v>91</v>
      </c>
    </row>
    <row r="128" ht="16.5" hidden="1" spans="1:35">
      <c r="A128" s="2" t="s">
        <v>24</v>
      </c>
      <c r="B128" s="2" t="s">
        <v>18</v>
      </c>
      <c r="C128" s="4">
        <v>420</v>
      </c>
      <c r="D128" s="2" t="s">
        <v>74</v>
      </c>
      <c r="E128" s="5">
        <v>0.9976</v>
      </c>
      <c r="F128" s="5">
        <v>0.3119</v>
      </c>
      <c r="G128" s="5">
        <v>0.1643</v>
      </c>
      <c r="H128" s="5">
        <v>0.1405</v>
      </c>
      <c r="I128" s="5">
        <v>0.1048</v>
      </c>
      <c r="J128" s="5">
        <v>0.0786</v>
      </c>
      <c r="K128" s="5">
        <v>0.0786</v>
      </c>
      <c r="L128" s="5">
        <v>0.0452</v>
      </c>
      <c r="M128" s="5">
        <v>0.0595</v>
      </c>
      <c r="N128" s="5">
        <v>0.0524</v>
      </c>
      <c r="O128" s="5">
        <v>0.0452</v>
      </c>
      <c r="P128" s="5">
        <v>0.019</v>
      </c>
      <c r="Q128" s="2" t="s">
        <v>91</v>
      </c>
      <c r="R128" s="2" t="s">
        <v>91</v>
      </c>
      <c r="S128" s="2" t="s">
        <v>91</v>
      </c>
      <c r="T128" s="2" t="s">
        <v>91</v>
      </c>
      <c r="U128" s="2" t="s">
        <v>91</v>
      </c>
      <c r="V128" s="2" t="s">
        <v>91</v>
      </c>
      <c r="W128" s="2" t="s">
        <v>91</v>
      </c>
      <c r="X128" s="2" t="s">
        <v>91</v>
      </c>
      <c r="Y128" s="2" t="s">
        <v>91</v>
      </c>
      <c r="Z128" s="2" t="s">
        <v>91</v>
      </c>
      <c r="AA128" s="2" t="s">
        <v>91</v>
      </c>
      <c r="AB128" s="2" t="s">
        <v>91</v>
      </c>
      <c r="AC128" s="2" t="s">
        <v>91</v>
      </c>
      <c r="AD128" s="2" t="s">
        <v>91</v>
      </c>
      <c r="AE128" s="2" t="s">
        <v>91</v>
      </c>
      <c r="AF128" s="2" t="s">
        <v>91</v>
      </c>
      <c r="AG128" s="2" t="s">
        <v>91</v>
      </c>
      <c r="AH128" s="2" t="s">
        <v>91</v>
      </c>
      <c r="AI128" s="2" t="s">
        <v>91</v>
      </c>
    </row>
    <row r="129" ht="16.5" hidden="1" spans="1:35">
      <c r="A129" s="2" t="s">
        <v>26</v>
      </c>
      <c r="B129" s="2" t="s">
        <v>18</v>
      </c>
      <c r="C129" s="4">
        <v>582</v>
      </c>
      <c r="D129" s="2" t="s">
        <v>19</v>
      </c>
      <c r="E129" s="4">
        <v>580</v>
      </c>
      <c r="F129" s="7">
        <v>225</v>
      </c>
      <c r="G129" s="7">
        <v>116</v>
      </c>
      <c r="H129" s="4">
        <v>81</v>
      </c>
      <c r="I129" s="7">
        <v>64</v>
      </c>
      <c r="J129" s="4">
        <v>54</v>
      </c>
      <c r="K129" s="7">
        <v>60</v>
      </c>
      <c r="L129" s="4">
        <v>44</v>
      </c>
      <c r="M129" s="4">
        <v>48</v>
      </c>
      <c r="N129" s="4">
        <v>32</v>
      </c>
      <c r="O129" s="4">
        <v>21</v>
      </c>
      <c r="P129" s="2" t="s">
        <v>91</v>
      </c>
      <c r="Q129" s="2" t="s">
        <v>91</v>
      </c>
      <c r="R129" s="2" t="s">
        <v>91</v>
      </c>
      <c r="S129" s="2" t="s">
        <v>91</v>
      </c>
      <c r="T129" s="2" t="s">
        <v>91</v>
      </c>
      <c r="U129" s="2" t="s">
        <v>91</v>
      </c>
      <c r="V129" s="2" t="s">
        <v>91</v>
      </c>
      <c r="W129" s="2" t="s">
        <v>91</v>
      </c>
      <c r="X129" s="2" t="s">
        <v>91</v>
      </c>
      <c r="Y129" s="2" t="s">
        <v>91</v>
      </c>
      <c r="Z129" s="2" t="s">
        <v>91</v>
      </c>
      <c r="AA129" s="2" t="s">
        <v>91</v>
      </c>
      <c r="AB129" s="2" t="s">
        <v>91</v>
      </c>
      <c r="AC129" s="2" t="s">
        <v>91</v>
      </c>
      <c r="AD129" s="2" t="s">
        <v>91</v>
      </c>
      <c r="AE129" s="2" t="s">
        <v>91</v>
      </c>
      <c r="AF129" s="2" t="s">
        <v>91</v>
      </c>
      <c r="AG129" s="2" t="s">
        <v>91</v>
      </c>
      <c r="AH129" s="2" t="s">
        <v>91</v>
      </c>
      <c r="AI129" s="2" t="s">
        <v>91</v>
      </c>
    </row>
    <row r="130" ht="16.5" hidden="1" spans="1:35">
      <c r="A130" s="2" t="s">
        <v>26</v>
      </c>
      <c r="B130" s="2" t="s">
        <v>18</v>
      </c>
      <c r="C130" s="4">
        <v>582</v>
      </c>
      <c r="D130" s="2" t="s">
        <v>74</v>
      </c>
      <c r="E130" s="5">
        <v>0.9966</v>
      </c>
      <c r="F130" s="5">
        <v>0.3866</v>
      </c>
      <c r="G130" s="5">
        <v>0.1993</v>
      </c>
      <c r="H130" s="5">
        <v>0.1392</v>
      </c>
      <c r="I130" s="6">
        <v>0.11</v>
      </c>
      <c r="J130" s="5">
        <v>0.0928</v>
      </c>
      <c r="K130" s="5">
        <v>0.1031</v>
      </c>
      <c r="L130" s="5">
        <v>0.0756</v>
      </c>
      <c r="M130" s="5">
        <v>0.0825</v>
      </c>
      <c r="N130" s="5">
        <v>0.055</v>
      </c>
      <c r="O130" s="5">
        <v>0.0361</v>
      </c>
      <c r="P130" s="2" t="s">
        <v>91</v>
      </c>
      <c r="Q130" s="2" t="s">
        <v>91</v>
      </c>
      <c r="R130" s="2" t="s">
        <v>91</v>
      </c>
      <c r="S130" s="2" t="s">
        <v>91</v>
      </c>
      <c r="T130" s="2" t="s">
        <v>91</v>
      </c>
      <c r="U130" s="2" t="s">
        <v>91</v>
      </c>
      <c r="V130" s="2" t="s">
        <v>91</v>
      </c>
      <c r="W130" s="2" t="s">
        <v>91</v>
      </c>
      <c r="X130" s="2" t="s">
        <v>91</v>
      </c>
      <c r="Y130" s="2" t="s">
        <v>91</v>
      </c>
      <c r="Z130" s="2" t="s">
        <v>91</v>
      </c>
      <c r="AA130" s="2" t="s">
        <v>91</v>
      </c>
      <c r="AB130" s="2" t="s">
        <v>91</v>
      </c>
      <c r="AC130" s="2" t="s">
        <v>91</v>
      </c>
      <c r="AD130" s="2" t="s">
        <v>91</v>
      </c>
      <c r="AE130" s="2" t="s">
        <v>91</v>
      </c>
      <c r="AF130" s="2" t="s">
        <v>91</v>
      </c>
      <c r="AG130" s="2" t="s">
        <v>91</v>
      </c>
      <c r="AH130" s="2" t="s">
        <v>91</v>
      </c>
      <c r="AI130" s="2" t="s">
        <v>91</v>
      </c>
    </row>
    <row r="131" ht="16.5" hidden="1" spans="1:35">
      <c r="A131" s="2" t="s">
        <v>28</v>
      </c>
      <c r="B131" s="2" t="s">
        <v>18</v>
      </c>
      <c r="C131" s="4">
        <v>380</v>
      </c>
      <c r="D131" s="2" t="s">
        <v>19</v>
      </c>
      <c r="E131" s="4">
        <v>380</v>
      </c>
      <c r="F131" s="7">
        <v>132</v>
      </c>
      <c r="G131" s="7">
        <v>86</v>
      </c>
      <c r="H131" s="4">
        <v>60</v>
      </c>
      <c r="I131" s="7">
        <v>49</v>
      </c>
      <c r="J131" s="4">
        <v>35</v>
      </c>
      <c r="K131" s="7">
        <v>40</v>
      </c>
      <c r="L131" s="4">
        <v>25</v>
      </c>
      <c r="M131" s="4">
        <v>22</v>
      </c>
      <c r="N131" s="4">
        <v>14</v>
      </c>
      <c r="O131" s="2" t="s">
        <v>91</v>
      </c>
      <c r="P131" s="2" t="s">
        <v>91</v>
      </c>
      <c r="Q131" s="2" t="s">
        <v>91</v>
      </c>
      <c r="R131" s="2" t="s">
        <v>91</v>
      </c>
      <c r="S131" s="2" t="s">
        <v>91</v>
      </c>
      <c r="T131" s="2" t="s">
        <v>91</v>
      </c>
      <c r="U131" s="2" t="s">
        <v>91</v>
      </c>
      <c r="V131" s="2" t="s">
        <v>91</v>
      </c>
      <c r="W131" s="2" t="s">
        <v>91</v>
      </c>
      <c r="X131" s="2" t="s">
        <v>91</v>
      </c>
      <c r="Y131" s="2" t="s">
        <v>91</v>
      </c>
      <c r="Z131" s="2" t="s">
        <v>91</v>
      </c>
      <c r="AA131" s="2" t="s">
        <v>91</v>
      </c>
      <c r="AB131" s="2" t="s">
        <v>91</v>
      </c>
      <c r="AC131" s="2" t="s">
        <v>91</v>
      </c>
      <c r="AD131" s="2" t="s">
        <v>91</v>
      </c>
      <c r="AE131" s="2" t="s">
        <v>91</v>
      </c>
      <c r="AF131" s="2" t="s">
        <v>91</v>
      </c>
      <c r="AG131" s="2" t="s">
        <v>91</v>
      </c>
      <c r="AH131" s="2" t="s">
        <v>91</v>
      </c>
      <c r="AI131" s="2" t="s">
        <v>91</v>
      </c>
    </row>
    <row r="132" ht="16.5" hidden="1" spans="1:35">
      <c r="A132" s="2" t="s">
        <v>28</v>
      </c>
      <c r="B132" s="2" t="s">
        <v>18</v>
      </c>
      <c r="C132" s="4">
        <v>380</v>
      </c>
      <c r="D132" s="2" t="s">
        <v>74</v>
      </c>
      <c r="E132" s="6">
        <v>1</v>
      </c>
      <c r="F132" s="5">
        <v>0.3474</v>
      </c>
      <c r="G132" s="5">
        <v>0.2263</v>
      </c>
      <c r="H132" s="5">
        <v>0.1579</v>
      </c>
      <c r="I132" s="5">
        <v>0.1289</v>
      </c>
      <c r="J132" s="5">
        <v>0.0921</v>
      </c>
      <c r="K132" s="5">
        <v>0.1053</v>
      </c>
      <c r="L132" s="5">
        <v>0.0658</v>
      </c>
      <c r="M132" s="5">
        <v>0.0579</v>
      </c>
      <c r="N132" s="5">
        <v>0.0368</v>
      </c>
      <c r="O132" s="2" t="s">
        <v>91</v>
      </c>
      <c r="P132" s="2" t="s">
        <v>91</v>
      </c>
      <c r="Q132" s="2" t="s">
        <v>91</v>
      </c>
      <c r="R132" s="2" t="s">
        <v>91</v>
      </c>
      <c r="S132" s="2" t="s">
        <v>91</v>
      </c>
      <c r="T132" s="2" t="s">
        <v>91</v>
      </c>
      <c r="U132" s="2" t="s">
        <v>91</v>
      </c>
      <c r="V132" s="2" t="s">
        <v>91</v>
      </c>
      <c r="W132" s="2" t="s">
        <v>91</v>
      </c>
      <c r="X132" s="2" t="s">
        <v>91</v>
      </c>
      <c r="Y132" s="2" t="s">
        <v>91</v>
      </c>
      <c r="Z132" s="2" t="s">
        <v>91</v>
      </c>
      <c r="AA132" s="2" t="s">
        <v>91</v>
      </c>
      <c r="AB132" s="2" t="s">
        <v>91</v>
      </c>
      <c r="AC132" s="2" t="s">
        <v>91</v>
      </c>
      <c r="AD132" s="2" t="s">
        <v>91</v>
      </c>
      <c r="AE132" s="2" t="s">
        <v>91</v>
      </c>
      <c r="AF132" s="2" t="s">
        <v>91</v>
      </c>
      <c r="AG132" s="2" t="s">
        <v>91</v>
      </c>
      <c r="AH132" s="2" t="s">
        <v>91</v>
      </c>
      <c r="AI132" s="2" t="s">
        <v>91</v>
      </c>
    </row>
    <row r="133" ht="16.5" hidden="1" spans="1:35">
      <c r="A133" s="2" t="s">
        <v>30</v>
      </c>
      <c r="B133" s="2" t="s">
        <v>18</v>
      </c>
      <c r="C133" s="4">
        <v>336</v>
      </c>
      <c r="D133" s="2" t="s">
        <v>19</v>
      </c>
      <c r="E133" s="4">
        <v>336</v>
      </c>
      <c r="F133" s="7">
        <v>140</v>
      </c>
      <c r="G133" s="7">
        <v>78</v>
      </c>
      <c r="H133" s="4">
        <v>60</v>
      </c>
      <c r="I133" s="7">
        <v>44</v>
      </c>
      <c r="J133" s="4">
        <v>39</v>
      </c>
      <c r="K133" s="7">
        <v>33</v>
      </c>
      <c r="L133" s="4">
        <v>27</v>
      </c>
      <c r="M133" s="4">
        <v>22</v>
      </c>
      <c r="N133" s="2" t="s">
        <v>91</v>
      </c>
      <c r="O133" s="2" t="s">
        <v>91</v>
      </c>
      <c r="P133" s="2" t="s">
        <v>91</v>
      </c>
      <c r="Q133" s="2" t="s">
        <v>91</v>
      </c>
      <c r="R133" s="2" t="s">
        <v>91</v>
      </c>
      <c r="S133" s="2" t="s">
        <v>91</v>
      </c>
      <c r="T133" s="2" t="s">
        <v>91</v>
      </c>
      <c r="U133" s="2" t="s">
        <v>91</v>
      </c>
      <c r="V133" s="2" t="s">
        <v>91</v>
      </c>
      <c r="W133" s="2" t="s">
        <v>91</v>
      </c>
      <c r="X133" s="2" t="s">
        <v>91</v>
      </c>
      <c r="Y133" s="2" t="s">
        <v>91</v>
      </c>
      <c r="Z133" s="2" t="s">
        <v>91</v>
      </c>
      <c r="AA133" s="2" t="s">
        <v>91</v>
      </c>
      <c r="AB133" s="2" t="s">
        <v>91</v>
      </c>
      <c r="AC133" s="2" t="s">
        <v>91</v>
      </c>
      <c r="AD133" s="2" t="s">
        <v>91</v>
      </c>
      <c r="AE133" s="2" t="s">
        <v>91</v>
      </c>
      <c r="AF133" s="2" t="s">
        <v>91</v>
      </c>
      <c r="AG133" s="2" t="s">
        <v>91</v>
      </c>
      <c r="AH133" s="2" t="s">
        <v>91</v>
      </c>
      <c r="AI133" s="2" t="s">
        <v>91</v>
      </c>
    </row>
    <row r="134" ht="16.5" hidden="1" spans="1:35">
      <c r="A134" s="2" t="s">
        <v>30</v>
      </c>
      <c r="B134" s="2" t="s">
        <v>18</v>
      </c>
      <c r="C134" s="4">
        <v>336</v>
      </c>
      <c r="D134" s="2" t="s">
        <v>74</v>
      </c>
      <c r="E134" s="6">
        <v>1</v>
      </c>
      <c r="F134" s="5">
        <v>0.4167</v>
      </c>
      <c r="G134" s="5">
        <v>0.2321</v>
      </c>
      <c r="H134" s="5">
        <v>0.1786</v>
      </c>
      <c r="I134" s="5">
        <v>0.131</v>
      </c>
      <c r="J134" s="5">
        <v>0.1161</v>
      </c>
      <c r="K134" s="5">
        <v>0.0982</v>
      </c>
      <c r="L134" s="5">
        <v>0.0804</v>
      </c>
      <c r="M134" s="5">
        <v>0.0655</v>
      </c>
      <c r="N134" s="2" t="s">
        <v>91</v>
      </c>
      <c r="O134" s="2" t="s">
        <v>91</v>
      </c>
      <c r="P134" s="2" t="s">
        <v>91</v>
      </c>
      <c r="Q134" s="2" t="s">
        <v>91</v>
      </c>
      <c r="R134" s="2" t="s">
        <v>91</v>
      </c>
      <c r="S134" s="2" t="s">
        <v>91</v>
      </c>
      <c r="T134" s="2" t="s">
        <v>91</v>
      </c>
      <c r="U134" s="2" t="s">
        <v>91</v>
      </c>
      <c r="V134" s="2" t="s">
        <v>91</v>
      </c>
      <c r="W134" s="2" t="s">
        <v>91</v>
      </c>
      <c r="X134" s="2" t="s">
        <v>91</v>
      </c>
      <c r="Y134" s="2" t="s">
        <v>91</v>
      </c>
      <c r="Z134" s="2" t="s">
        <v>91</v>
      </c>
      <c r="AA134" s="2" t="s">
        <v>91</v>
      </c>
      <c r="AB134" s="2" t="s">
        <v>91</v>
      </c>
      <c r="AC134" s="2" t="s">
        <v>91</v>
      </c>
      <c r="AD134" s="2" t="s">
        <v>91</v>
      </c>
      <c r="AE134" s="2" t="s">
        <v>91</v>
      </c>
      <c r="AF134" s="2" t="s">
        <v>91</v>
      </c>
      <c r="AG134" s="2" t="s">
        <v>91</v>
      </c>
      <c r="AH134" s="2" t="s">
        <v>91</v>
      </c>
      <c r="AI134" s="2" t="s">
        <v>91</v>
      </c>
    </row>
    <row r="135" ht="16.5" hidden="1" spans="1:35">
      <c r="A135" s="2" t="s">
        <v>32</v>
      </c>
      <c r="B135" s="2" t="s">
        <v>18</v>
      </c>
      <c r="C135" s="4">
        <v>385</v>
      </c>
      <c r="D135" s="2" t="s">
        <v>19</v>
      </c>
      <c r="E135" s="4">
        <v>385</v>
      </c>
      <c r="F135" s="7">
        <v>149</v>
      </c>
      <c r="G135" s="7">
        <v>93</v>
      </c>
      <c r="H135" s="4">
        <v>63</v>
      </c>
      <c r="I135" s="7">
        <v>51</v>
      </c>
      <c r="J135" s="4">
        <v>42</v>
      </c>
      <c r="K135" s="7">
        <v>30</v>
      </c>
      <c r="L135" s="4">
        <v>31</v>
      </c>
      <c r="M135" s="2" t="s">
        <v>91</v>
      </c>
      <c r="N135" s="2" t="s">
        <v>91</v>
      </c>
      <c r="O135" s="2" t="s">
        <v>91</v>
      </c>
      <c r="P135" s="2" t="s">
        <v>91</v>
      </c>
      <c r="Q135" s="2" t="s">
        <v>91</v>
      </c>
      <c r="R135" s="2" t="s">
        <v>91</v>
      </c>
      <c r="S135" s="2" t="s">
        <v>91</v>
      </c>
      <c r="T135" s="2" t="s">
        <v>91</v>
      </c>
      <c r="U135" s="2" t="s">
        <v>91</v>
      </c>
      <c r="V135" s="2" t="s">
        <v>91</v>
      </c>
      <c r="W135" s="2" t="s">
        <v>91</v>
      </c>
      <c r="X135" s="2" t="s">
        <v>91</v>
      </c>
      <c r="Y135" s="2" t="s">
        <v>91</v>
      </c>
      <c r="Z135" s="2" t="s">
        <v>91</v>
      </c>
      <c r="AA135" s="2" t="s">
        <v>91</v>
      </c>
      <c r="AB135" s="2" t="s">
        <v>91</v>
      </c>
      <c r="AC135" s="2" t="s">
        <v>91</v>
      </c>
      <c r="AD135" s="2" t="s">
        <v>91</v>
      </c>
      <c r="AE135" s="2" t="s">
        <v>91</v>
      </c>
      <c r="AF135" s="2" t="s">
        <v>91</v>
      </c>
      <c r="AG135" s="2" t="s">
        <v>91</v>
      </c>
      <c r="AH135" s="2" t="s">
        <v>91</v>
      </c>
      <c r="AI135" s="2" t="s">
        <v>91</v>
      </c>
    </row>
    <row r="136" ht="16.5" hidden="1" spans="1:35">
      <c r="A136" s="2" t="s">
        <v>32</v>
      </c>
      <c r="B136" s="2" t="s">
        <v>18</v>
      </c>
      <c r="C136" s="4">
        <v>385</v>
      </c>
      <c r="D136" s="2" t="s">
        <v>74</v>
      </c>
      <c r="E136" s="6">
        <v>1</v>
      </c>
      <c r="F136" s="5">
        <v>0.387</v>
      </c>
      <c r="G136" s="5">
        <v>0.2416</v>
      </c>
      <c r="H136" s="5">
        <v>0.1636</v>
      </c>
      <c r="I136" s="5">
        <v>0.1325</v>
      </c>
      <c r="J136" s="5">
        <v>0.1091</v>
      </c>
      <c r="K136" s="5">
        <v>0.0779</v>
      </c>
      <c r="L136" s="5">
        <v>0.0805</v>
      </c>
      <c r="M136" s="2" t="s">
        <v>91</v>
      </c>
      <c r="N136" s="2" t="s">
        <v>91</v>
      </c>
      <c r="O136" s="2" t="s">
        <v>91</v>
      </c>
      <c r="P136" s="2" t="s">
        <v>91</v>
      </c>
      <c r="Q136" s="2" t="s">
        <v>91</v>
      </c>
      <c r="R136" s="2" t="s">
        <v>91</v>
      </c>
      <c r="S136" s="2" t="s">
        <v>91</v>
      </c>
      <c r="T136" s="2" t="s">
        <v>91</v>
      </c>
      <c r="U136" s="2" t="s">
        <v>91</v>
      </c>
      <c r="V136" s="2" t="s">
        <v>91</v>
      </c>
      <c r="W136" s="2" t="s">
        <v>91</v>
      </c>
      <c r="X136" s="2" t="s">
        <v>91</v>
      </c>
      <c r="Y136" s="2" t="s">
        <v>91</v>
      </c>
      <c r="Z136" s="2" t="s">
        <v>91</v>
      </c>
      <c r="AA136" s="2" t="s">
        <v>91</v>
      </c>
      <c r="AB136" s="2" t="s">
        <v>91</v>
      </c>
      <c r="AC136" s="2" t="s">
        <v>91</v>
      </c>
      <c r="AD136" s="2" t="s">
        <v>91</v>
      </c>
      <c r="AE136" s="2" t="s">
        <v>91</v>
      </c>
      <c r="AF136" s="2" t="s">
        <v>91</v>
      </c>
      <c r="AG136" s="2" t="s">
        <v>91</v>
      </c>
      <c r="AH136" s="2" t="s">
        <v>91</v>
      </c>
      <c r="AI136" s="2" t="s">
        <v>91</v>
      </c>
    </row>
    <row r="137" ht="16.5" hidden="1" spans="1:35">
      <c r="A137" s="2" t="s">
        <v>98</v>
      </c>
      <c r="B137" s="2" t="s">
        <v>18</v>
      </c>
      <c r="C137" s="4">
        <v>271</v>
      </c>
      <c r="D137" s="2" t="s">
        <v>19</v>
      </c>
      <c r="E137" s="4">
        <v>271</v>
      </c>
      <c r="F137" s="7">
        <v>100</v>
      </c>
      <c r="G137" s="7">
        <v>61</v>
      </c>
      <c r="H137" s="4">
        <v>44</v>
      </c>
      <c r="I137" s="7">
        <v>31</v>
      </c>
      <c r="J137" s="4">
        <v>29</v>
      </c>
      <c r="K137" s="7">
        <v>16</v>
      </c>
      <c r="L137" s="2" t="s">
        <v>91</v>
      </c>
      <c r="M137" s="2" t="s">
        <v>91</v>
      </c>
      <c r="N137" s="2" t="s">
        <v>91</v>
      </c>
      <c r="O137" s="2" t="s">
        <v>91</v>
      </c>
      <c r="P137" s="2" t="s">
        <v>91</v>
      </c>
      <c r="Q137" s="2" t="s">
        <v>91</v>
      </c>
      <c r="R137" s="2" t="s">
        <v>91</v>
      </c>
      <c r="S137" s="2" t="s">
        <v>91</v>
      </c>
      <c r="T137" s="2" t="s">
        <v>91</v>
      </c>
      <c r="U137" s="2" t="s">
        <v>91</v>
      </c>
      <c r="V137" s="2" t="s">
        <v>91</v>
      </c>
      <c r="W137" s="2" t="s">
        <v>91</v>
      </c>
      <c r="X137" s="2" t="s">
        <v>91</v>
      </c>
      <c r="Y137" s="2" t="s">
        <v>91</v>
      </c>
      <c r="Z137" s="2" t="s">
        <v>91</v>
      </c>
      <c r="AA137" s="2" t="s">
        <v>91</v>
      </c>
      <c r="AB137" s="2" t="s">
        <v>91</v>
      </c>
      <c r="AC137" s="2" t="s">
        <v>91</v>
      </c>
      <c r="AD137" s="2" t="s">
        <v>91</v>
      </c>
      <c r="AE137" s="2" t="s">
        <v>91</v>
      </c>
      <c r="AF137" s="2" t="s">
        <v>91</v>
      </c>
      <c r="AG137" s="2" t="s">
        <v>91</v>
      </c>
      <c r="AH137" s="2" t="s">
        <v>91</v>
      </c>
      <c r="AI137" s="2" t="s">
        <v>91</v>
      </c>
    </row>
    <row r="138" ht="16.5" hidden="1" spans="1:35">
      <c r="A138" s="2" t="s">
        <v>98</v>
      </c>
      <c r="B138" s="2" t="s">
        <v>18</v>
      </c>
      <c r="C138" s="4">
        <v>271</v>
      </c>
      <c r="D138" s="2" t="s">
        <v>74</v>
      </c>
      <c r="E138" s="6">
        <v>1</v>
      </c>
      <c r="F138" s="5">
        <v>0.369</v>
      </c>
      <c r="G138" s="5">
        <v>0.2251</v>
      </c>
      <c r="H138" s="5">
        <v>0.1624</v>
      </c>
      <c r="I138" s="5">
        <v>0.1144</v>
      </c>
      <c r="J138" s="5">
        <v>0.107</v>
      </c>
      <c r="K138" s="5">
        <v>0.059</v>
      </c>
      <c r="L138" s="2" t="s">
        <v>91</v>
      </c>
      <c r="M138" s="2" t="s">
        <v>91</v>
      </c>
      <c r="N138" s="2" t="s">
        <v>91</v>
      </c>
      <c r="O138" s="2" t="s">
        <v>91</v>
      </c>
      <c r="P138" s="2" t="s">
        <v>91</v>
      </c>
      <c r="Q138" s="2" t="s">
        <v>91</v>
      </c>
      <c r="R138" s="2" t="s">
        <v>91</v>
      </c>
      <c r="S138" s="2" t="s">
        <v>91</v>
      </c>
      <c r="T138" s="2" t="s">
        <v>91</v>
      </c>
      <c r="U138" s="2" t="s">
        <v>91</v>
      </c>
      <c r="V138" s="2" t="s">
        <v>91</v>
      </c>
      <c r="W138" s="2" t="s">
        <v>91</v>
      </c>
      <c r="X138" s="2" t="s">
        <v>91</v>
      </c>
      <c r="Y138" s="2" t="s">
        <v>91</v>
      </c>
      <c r="Z138" s="2" t="s">
        <v>91</v>
      </c>
      <c r="AA138" s="2" t="s">
        <v>91</v>
      </c>
      <c r="AB138" s="2" t="s">
        <v>91</v>
      </c>
      <c r="AC138" s="2" t="s">
        <v>91</v>
      </c>
      <c r="AD138" s="2" t="s">
        <v>91</v>
      </c>
      <c r="AE138" s="2" t="s">
        <v>91</v>
      </c>
      <c r="AF138" s="2" t="s">
        <v>91</v>
      </c>
      <c r="AG138" s="2" t="s">
        <v>91</v>
      </c>
      <c r="AH138" s="2" t="s">
        <v>91</v>
      </c>
      <c r="AI138" s="2" t="s">
        <v>91</v>
      </c>
    </row>
    <row r="139" ht="16.5" hidden="1" spans="1:35">
      <c r="A139" s="2" t="s">
        <v>99</v>
      </c>
      <c r="B139" s="2" t="s">
        <v>18</v>
      </c>
      <c r="C139" s="4">
        <v>281</v>
      </c>
      <c r="D139" s="2" t="s">
        <v>19</v>
      </c>
      <c r="E139" s="4">
        <v>281</v>
      </c>
      <c r="F139" s="7">
        <v>103</v>
      </c>
      <c r="G139" s="7">
        <v>68</v>
      </c>
      <c r="H139" s="4">
        <v>52</v>
      </c>
      <c r="I139" s="7">
        <v>43</v>
      </c>
      <c r="J139" s="4">
        <v>29</v>
      </c>
      <c r="K139" s="3" t="s">
        <v>91</v>
      </c>
      <c r="L139" s="2" t="s">
        <v>91</v>
      </c>
      <c r="M139" s="2" t="s">
        <v>91</v>
      </c>
      <c r="N139" s="2" t="s">
        <v>91</v>
      </c>
      <c r="O139" s="2" t="s">
        <v>91</v>
      </c>
      <c r="P139" s="2" t="s">
        <v>91</v>
      </c>
      <c r="Q139" s="2" t="s">
        <v>91</v>
      </c>
      <c r="R139" s="2" t="s">
        <v>91</v>
      </c>
      <c r="S139" s="2" t="s">
        <v>91</v>
      </c>
      <c r="T139" s="2" t="s">
        <v>91</v>
      </c>
      <c r="U139" s="2" t="s">
        <v>91</v>
      </c>
      <c r="V139" s="2" t="s">
        <v>91</v>
      </c>
      <c r="W139" s="2" t="s">
        <v>91</v>
      </c>
      <c r="X139" s="2" t="s">
        <v>91</v>
      </c>
      <c r="Y139" s="2" t="s">
        <v>91</v>
      </c>
      <c r="Z139" s="2" t="s">
        <v>91</v>
      </c>
      <c r="AA139" s="2" t="s">
        <v>91</v>
      </c>
      <c r="AB139" s="2" t="s">
        <v>91</v>
      </c>
      <c r="AC139" s="2" t="s">
        <v>91</v>
      </c>
      <c r="AD139" s="2" t="s">
        <v>91</v>
      </c>
      <c r="AE139" s="2" t="s">
        <v>91</v>
      </c>
      <c r="AF139" s="2" t="s">
        <v>91</v>
      </c>
      <c r="AG139" s="2" t="s">
        <v>91</v>
      </c>
      <c r="AH139" s="2" t="s">
        <v>91</v>
      </c>
      <c r="AI139" s="2" t="s">
        <v>91</v>
      </c>
    </row>
    <row r="140" ht="16.5" hidden="1" spans="1:35">
      <c r="A140" s="2" t="s">
        <v>99</v>
      </c>
      <c r="B140" s="2" t="s">
        <v>18</v>
      </c>
      <c r="C140" s="4">
        <v>281</v>
      </c>
      <c r="D140" s="2" t="s">
        <v>74</v>
      </c>
      <c r="E140" s="6">
        <v>1</v>
      </c>
      <c r="F140" s="5">
        <v>0.3665</v>
      </c>
      <c r="G140" s="5">
        <v>0.242</v>
      </c>
      <c r="H140" s="5">
        <v>0.1851</v>
      </c>
      <c r="I140" s="5">
        <v>0.153</v>
      </c>
      <c r="J140" s="5">
        <v>0.1032</v>
      </c>
      <c r="K140" s="2" t="s">
        <v>91</v>
      </c>
      <c r="L140" s="2" t="s">
        <v>91</v>
      </c>
      <c r="M140" s="2" t="s">
        <v>91</v>
      </c>
      <c r="N140" s="2" t="s">
        <v>91</v>
      </c>
      <c r="O140" s="2" t="s">
        <v>91</v>
      </c>
      <c r="P140" s="2" t="s">
        <v>91</v>
      </c>
      <c r="Q140" s="2" t="s">
        <v>91</v>
      </c>
      <c r="R140" s="2" t="s">
        <v>91</v>
      </c>
      <c r="S140" s="2" t="s">
        <v>91</v>
      </c>
      <c r="T140" s="2" t="s">
        <v>91</v>
      </c>
      <c r="U140" s="2" t="s">
        <v>91</v>
      </c>
      <c r="V140" s="2" t="s">
        <v>91</v>
      </c>
      <c r="W140" s="2" t="s">
        <v>91</v>
      </c>
      <c r="X140" s="2" t="s">
        <v>91</v>
      </c>
      <c r="Y140" s="2" t="s">
        <v>91</v>
      </c>
      <c r="Z140" s="2" t="s">
        <v>91</v>
      </c>
      <c r="AA140" s="2" t="s">
        <v>91</v>
      </c>
      <c r="AB140" s="2" t="s">
        <v>91</v>
      </c>
      <c r="AC140" s="2" t="s">
        <v>91</v>
      </c>
      <c r="AD140" s="2" t="s">
        <v>91</v>
      </c>
      <c r="AE140" s="2" t="s">
        <v>91</v>
      </c>
      <c r="AF140" s="2" t="s">
        <v>91</v>
      </c>
      <c r="AG140" s="2" t="s">
        <v>91</v>
      </c>
      <c r="AH140" s="2" t="s">
        <v>91</v>
      </c>
      <c r="AI140" s="2" t="s">
        <v>91</v>
      </c>
    </row>
    <row r="141" ht="16.5" hidden="1" spans="1:35">
      <c r="A141" s="2" t="s">
        <v>100</v>
      </c>
      <c r="B141" s="2" t="s">
        <v>18</v>
      </c>
      <c r="C141" s="4">
        <v>309</v>
      </c>
      <c r="D141" s="2" t="s">
        <v>19</v>
      </c>
      <c r="E141" s="4">
        <v>309</v>
      </c>
      <c r="F141" s="7">
        <v>128</v>
      </c>
      <c r="G141" s="7">
        <v>90</v>
      </c>
      <c r="H141" s="4">
        <v>69</v>
      </c>
      <c r="I141" s="7">
        <v>42</v>
      </c>
      <c r="J141" s="2" t="s">
        <v>91</v>
      </c>
      <c r="K141" s="3" t="s">
        <v>91</v>
      </c>
      <c r="L141" s="2" t="s">
        <v>91</v>
      </c>
      <c r="M141" s="2" t="s">
        <v>91</v>
      </c>
      <c r="N141" s="2" t="s">
        <v>91</v>
      </c>
      <c r="O141" s="2" t="s">
        <v>91</v>
      </c>
      <c r="P141" s="2" t="s">
        <v>91</v>
      </c>
      <c r="Q141" s="2" t="s">
        <v>91</v>
      </c>
      <c r="R141" s="2" t="s">
        <v>91</v>
      </c>
      <c r="S141" s="2" t="s">
        <v>91</v>
      </c>
      <c r="T141" s="2" t="s">
        <v>91</v>
      </c>
      <c r="U141" s="2" t="s">
        <v>91</v>
      </c>
      <c r="V141" s="2" t="s">
        <v>91</v>
      </c>
      <c r="W141" s="2" t="s">
        <v>91</v>
      </c>
      <c r="X141" s="2" t="s">
        <v>91</v>
      </c>
      <c r="Y141" s="2" t="s">
        <v>91</v>
      </c>
      <c r="Z141" s="2" t="s">
        <v>91</v>
      </c>
      <c r="AA141" s="2" t="s">
        <v>91</v>
      </c>
      <c r="AB141" s="2" t="s">
        <v>91</v>
      </c>
      <c r="AC141" s="2" t="s">
        <v>91</v>
      </c>
      <c r="AD141" s="2" t="s">
        <v>91</v>
      </c>
      <c r="AE141" s="2" t="s">
        <v>91</v>
      </c>
      <c r="AF141" s="2" t="s">
        <v>91</v>
      </c>
      <c r="AG141" s="2" t="s">
        <v>91</v>
      </c>
      <c r="AH141" s="2" t="s">
        <v>91</v>
      </c>
      <c r="AI141" s="2" t="s">
        <v>91</v>
      </c>
    </row>
    <row r="142" ht="16.5" hidden="1" spans="1:35">
      <c r="A142" s="2" t="s">
        <v>100</v>
      </c>
      <c r="B142" s="2" t="s">
        <v>18</v>
      </c>
      <c r="C142" s="4">
        <v>309</v>
      </c>
      <c r="D142" s="2" t="s">
        <v>74</v>
      </c>
      <c r="E142" s="6">
        <v>1</v>
      </c>
      <c r="F142" s="5">
        <v>0.4142</v>
      </c>
      <c r="G142" s="5">
        <v>0.2913</v>
      </c>
      <c r="H142" s="5">
        <v>0.2233</v>
      </c>
      <c r="I142" s="5">
        <v>0.1359</v>
      </c>
      <c r="J142" s="2" t="s">
        <v>91</v>
      </c>
      <c r="K142" s="2" t="s">
        <v>91</v>
      </c>
      <c r="L142" s="2" t="s">
        <v>91</v>
      </c>
      <c r="M142" s="2" t="s">
        <v>91</v>
      </c>
      <c r="N142" s="2" t="s">
        <v>91</v>
      </c>
      <c r="O142" s="2" t="s">
        <v>91</v>
      </c>
      <c r="P142" s="2" t="s">
        <v>91</v>
      </c>
      <c r="Q142" s="2" t="s">
        <v>91</v>
      </c>
      <c r="R142" s="2" t="s">
        <v>91</v>
      </c>
      <c r="S142" s="2" t="s">
        <v>91</v>
      </c>
      <c r="T142" s="2" t="s">
        <v>91</v>
      </c>
      <c r="U142" s="2" t="s">
        <v>91</v>
      </c>
      <c r="V142" s="2" t="s">
        <v>91</v>
      </c>
      <c r="W142" s="2" t="s">
        <v>91</v>
      </c>
      <c r="X142" s="2" t="s">
        <v>91</v>
      </c>
      <c r="Y142" s="2" t="s">
        <v>91</v>
      </c>
      <c r="Z142" s="2" t="s">
        <v>91</v>
      </c>
      <c r="AA142" s="2" t="s">
        <v>91</v>
      </c>
      <c r="AB142" s="2" t="s">
        <v>91</v>
      </c>
      <c r="AC142" s="2" t="s">
        <v>91</v>
      </c>
      <c r="AD142" s="2" t="s">
        <v>91</v>
      </c>
      <c r="AE142" s="2" t="s">
        <v>91</v>
      </c>
      <c r="AF142" s="2" t="s">
        <v>91</v>
      </c>
      <c r="AG142" s="2" t="s">
        <v>91</v>
      </c>
      <c r="AH142" s="2" t="s">
        <v>91</v>
      </c>
      <c r="AI142" s="2" t="s">
        <v>91</v>
      </c>
    </row>
    <row r="143" ht="16.5" hidden="1" spans="1:35">
      <c r="A143" s="2" t="s">
        <v>101</v>
      </c>
      <c r="B143" s="2" t="s">
        <v>18</v>
      </c>
      <c r="C143" s="4">
        <v>412</v>
      </c>
      <c r="D143" s="2" t="s">
        <v>19</v>
      </c>
      <c r="E143" s="4">
        <v>412</v>
      </c>
      <c r="F143" s="7">
        <v>148</v>
      </c>
      <c r="G143" s="7">
        <v>95</v>
      </c>
      <c r="H143" s="4">
        <v>56</v>
      </c>
      <c r="I143" s="3" t="s">
        <v>91</v>
      </c>
      <c r="J143" s="2" t="s">
        <v>91</v>
      </c>
      <c r="K143" s="3" t="s">
        <v>91</v>
      </c>
      <c r="L143" s="2" t="s">
        <v>91</v>
      </c>
      <c r="M143" s="2" t="s">
        <v>91</v>
      </c>
      <c r="N143" s="2" t="s">
        <v>91</v>
      </c>
      <c r="O143" s="2" t="s">
        <v>91</v>
      </c>
      <c r="P143" s="2" t="s">
        <v>91</v>
      </c>
      <c r="Q143" s="2" t="s">
        <v>91</v>
      </c>
      <c r="R143" s="2" t="s">
        <v>91</v>
      </c>
      <c r="S143" s="2" t="s">
        <v>91</v>
      </c>
      <c r="T143" s="2" t="s">
        <v>91</v>
      </c>
      <c r="U143" s="2" t="s">
        <v>91</v>
      </c>
      <c r="V143" s="2" t="s">
        <v>91</v>
      </c>
      <c r="W143" s="2" t="s">
        <v>91</v>
      </c>
      <c r="X143" s="2" t="s">
        <v>91</v>
      </c>
      <c r="Y143" s="2" t="s">
        <v>91</v>
      </c>
      <c r="Z143" s="2" t="s">
        <v>91</v>
      </c>
      <c r="AA143" s="2" t="s">
        <v>91</v>
      </c>
      <c r="AB143" s="2" t="s">
        <v>91</v>
      </c>
      <c r="AC143" s="2" t="s">
        <v>91</v>
      </c>
      <c r="AD143" s="2" t="s">
        <v>91</v>
      </c>
      <c r="AE143" s="2" t="s">
        <v>91</v>
      </c>
      <c r="AF143" s="2" t="s">
        <v>91</v>
      </c>
      <c r="AG143" s="2" t="s">
        <v>91</v>
      </c>
      <c r="AH143" s="2" t="s">
        <v>91</v>
      </c>
      <c r="AI143" s="2" t="s">
        <v>91</v>
      </c>
    </row>
    <row r="144" ht="16.5" hidden="1" spans="1:35">
      <c r="A144" s="2" t="s">
        <v>101</v>
      </c>
      <c r="B144" s="2" t="s">
        <v>18</v>
      </c>
      <c r="C144" s="4">
        <v>412</v>
      </c>
      <c r="D144" s="2" t="s">
        <v>74</v>
      </c>
      <c r="E144" s="6">
        <v>1</v>
      </c>
      <c r="F144" s="5">
        <v>0.3592</v>
      </c>
      <c r="G144" s="5">
        <v>0.2306</v>
      </c>
      <c r="H144" s="5">
        <v>0.1359</v>
      </c>
      <c r="I144" s="2" t="s">
        <v>91</v>
      </c>
      <c r="J144" s="2" t="s">
        <v>91</v>
      </c>
      <c r="K144" s="2" t="s">
        <v>91</v>
      </c>
      <c r="L144" s="2" t="s">
        <v>91</v>
      </c>
      <c r="M144" s="2" t="s">
        <v>91</v>
      </c>
      <c r="N144" s="2" t="s">
        <v>91</v>
      </c>
      <c r="O144" s="2" t="s">
        <v>91</v>
      </c>
      <c r="P144" s="2" t="s">
        <v>91</v>
      </c>
      <c r="Q144" s="2" t="s">
        <v>91</v>
      </c>
      <c r="R144" s="2" t="s">
        <v>91</v>
      </c>
      <c r="S144" s="2" t="s">
        <v>91</v>
      </c>
      <c r="T144" s="2" t="s">
        <v>91</v>
      </c>
      <c r="U144" s="2" t="s">
        <v>91</v>
      </c>
      <c r="V144" s="2" t="s">
        <v>91</v>
      </c>
      <c r="W144" s="2" t="s">
        <v>91</v>
      </c>
      <c r="X144" s="2" t="s">
        <v>91</v>
      </c>
      <c r="Y144" s="2" t="s">
        <v>91</v>
      </c>
      <c r="Z144" s="2" t="s">
        <v>91</v>
      </c>
      <c r="AA144" s="2" t="s">
        <v>91</v>
      </c>
      <c r="AB144" s="2" t="s">
        <v>91</v>
      </c>
      <c r="AC144" s="2" t="s">
        <v>91</v>
      </c>
      <c r="AD144" s="2" t="s">
        <v>91</v>
      </c>
      <c r="AE144" s="2" t="s">
        <v>91</v>
      </c>
      <c r="AF144" s="2" t="s">
        <v>91</v>
      </c>
      <c r="AG144" s="2" t="s">
        <v>91</v>
      </c>
      <c r="AH144" s="2" t="s">
        <v>91</v>
      </c>
      <c r="AI144" s="2" t="s">
        <v>91</v>
      </c>
    </row>
    <row r="145" ht="16.5" hidden="1" spans="1:35">
      <c r="A145" s="2" t="s">
        <v>102</v>
      </c>
      <c r="B145" s="2" t="s">
        <v>18</v>
      </c>
      <c r="C145" s="4">
        <v>259</v>
      </c>
      <c r="D145" s="2" t="s">
        <v>19</v>
      </c>
      <c r="E145" s="4">
        <v>259</v>
      </c>
      <c r="F145" s="7">
        <v>76</v>
      </c>
      <c r="G145" s="7">
        <v>48</v>
      </c>
      <c r="H145" s="2" t="s">
        <v>91</v>
      </c>
      <c r="I145" s="3" t="s">
        <v>91</v>
      </c>
      <c r="J145" s="2" t="s">
        <v>91</v>
      </c>
      <c r="K145" s="3" t="s">
        <v>91</v>
      </c>
      <c r="L145" s="2" t="s">
        <v>91</v>
      </c>
      <c r="M145" s="2" t="s">
        <v>91</v>
      </c>
      <c r="N145" s="2" t="s">
        <v>91</v>
      </c>
      <c r="O145" s="2" t="s">
        <v>91</v>
      </c>
      <c r="P145" s="2" t="s">
        <v>91</v>
      </c>
      <c r="Q145" s="2" t="s">
        <v>91</v>
      </c>
      <c r="R145" s="2" t="s">
        <v>91</v>
      </c>
      <c r="S145" s="2" t="s">
        <v>91</v>
      </c>
      <c r="T145" s="2" t="s">
        <v>91</v>
      </c>
      <c r="U145" s="2" t="s">
        <v>91</v>
      </c>
      <c r="V145" s="2" t="s">
        <v>91</v>
      </c>
      <c r="W145" s="2" t="s">
        <v>91</v>
      </c>
      <c r="X145" s="2" t="s">
        <v>91</v>
      </c>
      <c r="Y145" s="2" t="s">
        <v>91</v>
      </c>
      <c r="Z145" s="2" t="s">
        <v>91</v>
      </c>
      <c r="AA145" s="2" t="s">
        <v>91</v>
      </c>
      <c r="AB145" s="2" t="s">
        <v>91</v>
      </c>
      <c r="AC145" s="2" t="s">
        <v>91</v>
      </c>
      <c r="AD145" s="2" t="s">
        <v>91</v>
      </c>
      <c r="AE145" s="2" t="s">
        <v>91</v>
      </c>
      <c r="AF145" s="2" t="s">
        <v>91</v>
      </c>
      <c r="AG145" s="2" t="s">
        <v>91</v>
      </c>
      <c r="AH145" s="2" t="s">
        <v>91</v>
      </c>
      <c r="AI145" s="2" t="s">
        <v>91</v>
      </c>
    </row>
    <row r="146" ht="16.5" hidden="1" spans="1:35">
      <c r="A146" s="2" t="s">
        <v>102</v>
      </c>
      <c r="B146" s="2" t="s">
        <v>18</v>
      </c>
      <c r="C146" s="4">
        <v>259</v>
      </c>
      <c r="D146" s="2" t="s">
        <v>74</v>
      </c>
      <c r="E146" s="6">
        <v>1</v>
      </c>
      <c r="F146" s="5">
        <v>0.2934</v>
      </c>
      <c r="G146" s="5">
        <v>0.1853</v>
      </c>
      <c r="H146" s="2" t="s">
        <v>91</v>
      </c>
      <c r="I146" s="2" t="s">
        <v>91</v>
      </c>
      <c r="J146" s="2" t="s">
        <v>91</v>
      </c>
      <c r="K146" s="2" t="s">
        <v>91</v>
      </c>
      <c r="L146" s="2" t="s">
        <v>91</v>
      </c>
      <c r="M146" s="2" t="s">
        <v>91</v>
      </c>
      <c r="N146" s="2" t="s">
        <v>91</v>
      </c>
      <c r="O146" s="2" t="s">
        <v>91</v>
      </c>
      <c r="P146" s="2" t="s">
        <v>91</v>
      </c>
      <c r="Q146" s="2" t="s">
        <v>91</v>
      </c>
      <c r="R146" s="2" t="s">
        <v>91</v>
      </c>
      <c r="S146" s="2" t="s">
        <v>91</v>
      </c>
      <c r="T146" s="2" t="s">
        <v>91</v>
      </c>
      <c r="U146" s="2" t="s">
        <v>91</v>
      </c>
      <c r="V146" s="2" t="s">
        <v>91</v>
      </c>
      <c r="W146" s="2" t="s">
        <v>91</v>
      </c>
      <c r="X146" s="2" t="s">
        <v>91</v>
      </c>
      <c r="Y146" s="2" t="s">
        <v>91</v>
      </c>
      <c r="Z146" s="2" t="s">
        <v>91</v>
      </c>
      <c r="AA146" s="2" t="s">
        <v>91</v>
      </c>
      <c r="AB146" s="2" t="s">
        <v>91</v>
      </c>
      <c r="AC146" s="2" t="s">
        <v>91</v>
      </c>
      <c r="AD146" s="2" t="s">
        <v>91</v>
      </c>
      <c r="AE146" s="2" t="s">
        <v>91</v>
      </c>
      <c r="AF146" s="2" t="s">
        <v>91</v>
      </c>
      <c r="AG146" s="2" t="s">
        <v>91</v>
      </c>
      <c r="AH146" s="2" t="s">
        <v>91</v>
      </c>
      <c r="AI146" s="2" t="s">
        <v>91</v>
      </c>
    </row>
    <row r="147" ht="16.5" hidden="1" spans="1:35">
      <c r="A147" s="2" t="s">
        <v>103</v>
      </c>
      <c r="B147" s="2" t="s">
        <v>18</v>
      </c>
      <c r="C147" s="4">
        <v>20</v>
      </c>
      <c r="D147" s="2" t="s">
        <v>19</v>
      </c>
      <c r="E147" s="4">
        <v>20</v>
      </c>
      <c r="F147" s="7">
        <v>8</v>
      </c>
      <c r="G147" s="3" t="s">
        <v>91</v>
      </c>
      <c r="H147" s="2" t="s">
        <v>91</v>
      </c>
      <c r="I147" s="3" t="s">
        <v>91</v>
      </c>
      <c r="J147" s="2" t="s">
        <v>91</v>
      </c>
      <c r="K147" s="3" t="s">
        <v>91</v>
      </c>
      <c r="L147" s="2" t="s">
        <v>91</v>
      </c>
      <c r="M147" s="2" t="s">
        <v>91</v>
      </c>
      <c r="N147" s="2" t="s">
        <v>91</v>
      </c>
      <c r="O147" s="2" t="s">
        <v>91</v>
      </c>
      <c r="P147" s="2" t="s">
        <v>91</v>
      </c>
      <c r="Q147" s="2" t="s">
        <v>91</v>
      </c>
      <c r="R147" s="2" t="s">
        <v>91</v>
      </c>
      <c r="S147" s="2" t="s">
        <v>91</v>
      </c>
      <c r="T147" s="2" t="s">
        <v>91</v>
      </c>
      <c r="U147" s="2" t="s">
        <v>91</v>
      </c>
      <c r="V147" s="2" t="s">
        <v>91</v>
      </c>
      <c r="W147" s="2" t="s">
        <v>91</v>
      </c>
      <c r="X147" s="2" t="s">
        <v>91</v>
      </c>
      <c r="Y147" s="2" t="s">
        <v>91</v>
      </c>
      <c r="Z147" s="2" t="s">
        <v>91</v>
      </c>
      <c r="AA147" s="2" t="s">
        <v>91</v>
      </c>
      <c r="AB147" s="2" t="s">
        <v>91</v>
      </c>
      <c r="AC147" s="2" t="s">
        <v>91</v>
      </c>
      <c r="AD147" s="2" t="s">
        <v>91</v>
      </c>
      <c r="AE147" s="2" t="s">
        <v>91</v>
      </c>
      <c r="AF147" s="2" t="s">
        <v>91</v>
      </c>
      <c r="AG147" s="2" t="s">
        <v>91</v>
      </c>
      <c r="AH147" s="2" t="s">
        <v>91</v>
      </c>
      <c r="AI147" s="2" t="s">
        <v>91</v>
      </c>
    </row>
    <row r="148" ht="16.5" hidden="1" spans="1:35">
      <c r="A148" s="2" t="s">
        <v>103</v>
      </c>
      <c r="B148" s="2" t="s">
        <v>18</v>
      </c>
      <c r="C148" s="4">
        <v>20</v>
      </c>
      <c r="D148" s="2" t="s">
        <v>74</v>
      </c>
      <c r="E148" s="6">
        <v>1</v>
      </c>
      <c r="F148" s="6">
        <v>0.4</v>
      </c>
      <c r="G148" s="2" t="s">
        <v>91</v>
      </c>
      <c r="H148" s="2" t="s">
        <v>91</v>
      </c>
      <c r="I148" s="2" t="s">
        <v>91</v>
      </c>
      <c r="J148" s="2" t="s">
        <v>91</v>
      </c>
      <c r="K148" s="2" t="s">
        <v>91</v>
      </c>
      <c r="L148" s="2" t="s">
        <v>91</v>
      </c>
      <c r="M148" s="2" t="s">
        <v>91</v>
      </c>
      <c r="N148" s="2" t="s">
        <v>91</v>
      </c>
      <c r="O148" s="2" t="s">
        <v>91</v>
      </c>
      <c r="P148" s="2" t="s">
        <v>91</v>
      </c>
      <c r="Q148" s="2" t="s">
        <v>91</v>
      </c>
      <c r="R148" s="2" t="s">
        <v>91</v>
      </c>
      <c r="S148" s="2" t="s">
        <v>91</v>
      </c>
      <c r="T148" s="2" t="s">
        <v>91</v>
      </c>
      <c r="U148" s="2" t="s">
        <v>91</v>
      </c>
      <c r="V148" s="2" t="s">
        <v>91</v>
      </c>
      <c r="W148" s="2" t="s">
        <v>91</v>
      </c>
      <c r="X148" s="2" t="s">
        <v>91</v>
      </c>
      <c r="Y148" s="2" t="s">
        <v>91</v>
      </c>
      <c r="Z148" s="2" t="s">
        <v>91</v>
      </c>
      <c r="AA148" s="2" t="s">
        <v>91</v>
      </c>
      <c r="AB148" s="2" t="s">
        <v>91</v>
      </c>
      <c r="AC148" s="2" t="s">
        <v>91</v>
      </c>
      <c r="AD148" s="2" t="s">
        <v>91</v>
      </c>
      <c r="AE148" s="2" t="s">
        <v>91</v>
      </c>
      <c r="AF148" s="2" t="s">
        <v>91</v>
      </c>
      <c r="AG148" s="2" t="s">
        <v>91</v>
      </c>
      <c r="AH148" s="2" t="s">
        <v>91</v>
      </c>
      <c r="AI148" s="2" t="s">
        <v>91</v>
      </c>
    </row>
    <row r="149" ht="16.5" hidden="1" spans="1:35">
      <c r="A149" s="2" t="s">
        <v>104</v>
      </c>
      <c r="B149" s="2" t="s">
        <v>18</v>
      </c>
      <c r="C149" s="4">
        <v>2</v>
      </c>
      <c r="D149" s="2" t="s">
        <v>19</v>
      </c>
      <c r="E149" s="4">
        <v>2</v>
      </c>
      <c r="F149" s="3" t="s">
        <v>91</v>
      </c>
      <c r="G149" s="3" t="s">
        <v>91</v>
      </c>
      <c r="H149" s="2" t="s">
        <v>91</v>
      </c>
      <c r="I149" s="3" t="s">
        <v>91</v>
      </c>
      <c r="J149" s="2" t="s">
        <v>91</v>
      </c>
      <c r="K149" s="3" t="s">
        <v>91</v>
      </c>
      <c r="L149" s="2" t="s">
        <v>91</v>
      </c>
      <c r="M149" s="2" t="s">
        <v>91</v>
      </c>
      <c r="N149" s="2" t="s">
        <v>91</v>
      </c>
      <c r="O149" s="2" t="s">
        <v>91</v>
      </c>
      <c r="P149" s="2" t="s">
        <v>91</v>
      </c>
      <c r="Q149" s="2" t="s">
        <v>91</v>
      </c>
      <c r="R149" s="2" t="s">
        <v>91</v>
      </c>
      <c r="S149" s="2" t="s">
        <v>91</v>
      </c>
      <c r="T149" s="2" t="s">
        <v>91</v>
      </c>
      <c r="U149" s="2" t="s">
        <v>91</v>
      </c>
      <c r="V149" s="2" t="s">
        <v>91</v>
      </c>
      <c r="W149" s="2" t="s">
        <v>91</v>
      </c>
      <c r="X149" s="2" t="s">
        <v>91</v>
      </c>
      <c r="Y149" s="2" t="s">
        <v>91</v>
      </c>
      <c r="Z149" s="2" t="s">
        <v>91</v>
      </c>
      <c r="AA149" s="2" t="s">
        <v>91</v>
      </c>
      <c r="AB149" s="2" t="s">
        <v>91</v>
      </c>
      <c r="AC149" s="2" t="s">
        <v>91</v>
      </c>
      <c r="AD149" s="2" t="s">
        <v>91</v>
      </c>
      <c r="AE149" s="2" t="s">
        <v>91</v>
      </c>
      <c r="AF149" s="2" t="s">
        <v>91</v>
      </c>
      <c r="AG149" s="2" t="s">
        <v>91</v>
      </c>
      <c r="AH149" s="2" t="s">
        <v>91</v>
      </c>
      <c r="AI149" s="2" t="s">
        <v>91</v>
      </c>
    </row>
    <row r="150" ht="16.5" hidden="1" spans="1:35">
      <c r="A150" s="2" t="s">
        <v>104</v>
      </c>
      <c r="B150" s="2" t="s">
        <v>18</v>
      </c>
      <c r="C150" s="4">
        <v>2</v>
      </c>
      <c r="D150" s="2" t="s">
        <v>74</v>
      </c>
      <c r="E150" s="6">
        <v>1</v>
      </c>
      <c r="F150" s="2" t="s">
        <v>91</v>
      </c>
      <c r="G150" s="2" t="s">
        <v>91</v>
      </c>
      <c r="H150" s="2" t="s">
        <v>91</v>
      </c>
      <c r="I150" s="2" t="s">
        <v>91</v>
      </c>
      <c r="J150" s="2" t="s">
        <v>91</v>
      </c>
      <c r="K150" s="2" t="s">
        <v>91</v>
      </c>
      <c r="L150" s="2" t="s">
        <v>91</v>
      </c>
      <c r="M150" s="2" t="s">
        <v>91</v>
      </c>
      <c r="N150" s="2" t="s">
        <v>91</v>
      </c>
      <c r="O150" s="2" t="s">
        <v>91</v>
      </c>
      <c r="P150" s="2" t="s">
        <v>91</v>
      </c>
      <c r="Q150" s="2" t="s">
        <v>91</v>
      </c>
      <c r="R150" s="2" t="s">
        <v>91</v>
      </c>
      <c r="S150" s="2" t="s">
        <v>91</v>
      </c>
      <c r="T150" s="2" t="s">
        <v>91</v>
      </c>
      <c r="U150" s="2" t="s">
        <v>91</v>
      </c>
      <c r="V150" s="2" t="s">
        <v>91</v>
      </c>
      <c r="W150" s="2" t="s">
        <v>91</v>
      </c>
      <c r="X150" s="2" t="s">
        <v>91</v>
      </c>
      <c r="Y150" s="2" t="s">
        <v>91</v>
      </c>
      <c r="Z150" s="2" t="s">
        <v>91</v>
      </c>
      <c r="AA150" s="2" t="s">
        <v>91</v>
      </c>
      <c r="AB150" s="2" t="s">
        <v>91</v>
      </c>
      <c r="AC150" s="2" t="s">
        <v>91</v>
      </c>
      <c r="AD150" s="2" t="s">
        <v>91</v>
      </c>
      <c r="AE150" s="2" t="s">
        <v>91</v>
      </c>
      <c r="AF150" s="2" t="s">
        <v>91</v>
      </c>
      <c r="AG150" s="2" t="s">
        <v>91</v>
      </c>
      <c r="AH150" s="2" t="s">
        <v>91</v>
      </c>
      <c r="AI150" s="2" t="s">
        <v>91</v>
      </c>
    </row>
    <row r="151" ht="16.5" hidden="1" spans="1:35">
      <c r="A151" s="2" t="s">
        <v>72</v>
      </c>
      <c r="B151" s="2" t="s">
        <v>34</v>
      </c>
      <c r="C151" s="4">
        <v>4458</v>
      </c>
      <c r="D151" s="2" t="s">
        <v>74</v>
      </c>
      <c r="E151" s="5">
        <v>0.9993</v>
      </c>
      <c r="F151" s="5">
        <v>0.3747</v>
      </c>
      <c r="G151" s="5">
        <v>0.2412</v>
      </c>
      <c r="H151" s="5">
        <v>0.1907</v>
      </c>
      <c r="I151" s="5">
        <v>0.1557</v>
      </c>
      <c r="J151" s="5">
        <v>0.1234</v>
      </c>
      <c r="K151" s="5">
        <v>0.1082</v>
      </c>
      <c r="L151" s="5">
        <v>0.1019</v>
      </c>
      <c r="M151" s="5">
        <v>0.0867</v>
      </c>
      <c r="N151" s="5">
        <v>0.0694</v>
      </c>
      <c r="O151" s="5">
        <v>0.0606</v>
      </c>
      <c r="P151" s="5">
        <v>0.0551</v>
      </c>
      <c r="Q151" s="5">
        <v>0.0501</v>
      </c>
      <c r="R151" s="5">
        <v>0.0506</v>
      </c>
      <c r="S151" s="5">
        <v>0.0435</v>
      </c>
      <c r="T151" s="5">
        <v>0.0422</v>
      </c>
      <c r="U151" s="5">
        <v>0.038</v>
      </c>
      <c r="V151" s="5">
        <v>0.0356</v>
      </c>
      <c r="W151" s="5">
        <v>0.0378</v>
      </c>
      <c r="X151" s="5">
        <v>0.0326</v>
      </c>
      <c r="Y151" s="5">
        <v>0.031</v>
      </c>
      <c r="Z151" s="5">
        <v>0.0248</v>
      </c>
      <c r="AA151" s="5">
        <v>0.0315</v>
      </c>
      <c r="AB151" s="5">
        <v>0.0323</v>
      </c>
      <c r="AC151" s="5">
        <v>0.0299</v>
      </c>
      <c r="AD151" s="5">
        <v>0.0154</v>
      </c>
      <c r="AE151" s="6">
        <v>0</v>
      </c>
      <c r="AF151" s="2" t="s">
        <v>91</v>
      </c>
      <c r="AG151" s="2" t="s">
        <v>91</v>
      </c>
      <c r="AH151" s="2" t="s">
        <v>91</v>
      </c>
      <c r="AI151" s="2" t="s">
        <v>91</v>
      </c>
    </row>
    <row r="152" ht="16.5" hidden="1" spans="1:35">
      <c r="A152" s="2" t="s">
        <v>93</v>
      </c>
      <c r="B152" s="2" t="s">
        <v>34</v>
      </c>
      <c r="C152" s="4">
        <v>2</v>
      </c>
      <c r="D152" s="2" t="s">
        <v>74</v>
      </c>
      <c r="E152" s="6">
        <v>1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2" t="s">
        <v>91</v>
      </c>
      <c r="AH152" s="2" t="s">
        <v>91</v>
      </c>
      <c r="AI152" s="2" t="s">
        <v>91</v>
      </c>
    </row>
    <row r="153" ht="16.5" hidden="1" spans="1:35">
      <c r="A153" s="2" t="s">
        <v>94</v>
      </c>
      <c r="B153" s="2" t="s">
        <v>34</v>
      </c>
      <c r="C153" s="4">
        <v>63</v>
      </c>
      <c r="D153" s="2" t="s">
        <v>74</v>
      </c>
      <c r="E153" s="6">
        <v>1</v>
      </c>
      <c r="F153" s="5">
        <v>0.5238</v>
      </c>
      <c r="G153" s="5">
        <v>0.3333</v>
      </c>
      <c r="H153" s="5">
        <v>0.3333</v>
      </c>
      <c r="I153" s="5">
        <v>0.3175</v>
      </c>
      <c r="J153" s="5">
        <v>0.1746</v>
      </c>
      <c r="K153" s="5">
        <v>0.1429</v>
      </c>
      <c r="L153" s="5">
        <v>0.127</v>
      </c>
      <c r="M153" s="5">
        <v>0.1429</v>
      </c>
      <c r="N153" s="5">
        <v>0.127</v>
      </c>
      <c r="O153" s="5">
        <v>0.1111</v>
      </c>
      <c r="P153" s="5">
        <v>0.0952</v>
      </c>
      <c r="Q153" s="5">
        <v>0.1111</v>
      </c>
      <c r="R153" s="5">
        <v>0.0476</v>
      </c>
      <c r="S153" s="5">
        <v>0.0476</v>
      </c>
      <c r="T153" s="5">
        <v>0.0317</v>
      </c>
      <c r="U153" s="5">
        <v>0.0476</v>
      </c>
      <c r="V153" s="5">
        <v>0.0476</v>
      </c>
      <c r="W153" s="5">
        <v>0.0317</v>
      </c>
      <c r="X153" s="5">
        <v>0.0317</v>
      </c>
      <c r="Y153" s="5">
        <v>0.0476</v>
      </c>
      <c r="Z153" s="5">
        <v>0.0317</v>
      </c>
      <c r="AA153" s="5">
        <v>0.0159</v>
      </c>
      <c r="AB153" s="5">
        <v>0.0159</v>
      </c>
      <c r="AC153" s="5">
        <v>0.0159</v>
      </c>
      <c r="AD153" s="5">
        <v>0.0159</v>
      </c>
      <c r="AE153" s="5">
        <v>0.0317</v>
      </c>
      <c r="AF153" s="2" t="s">
        <v>91</v>
      </c>
      <c r="AG153" s="2" t="s">
        <v>91</v>
      </c>
      <c r="AH153" s="2" t="s">
        <v>91</v>
      </c>
      <c r="AI153" s="2" t="s">
        <v>91</v>
      </c>
    </row>
    <row r="154" ht="16.5" spans="1:35">
      <c r="A154" s="2" t="s">
        <v>95</v>
      </c>
      <c r="B154" s="2" t="s">
        <v>34</v>
      </c>
      <c r="C154" s="4">
        <v>303</v>
      </c>
      <c r="D154" s="2" t="s">
        <v>19</v>
      </c>
      <c r="E154" s="4">
        <v>303</v>
      </c>
      <c r="F154" s="4">
        <v>129</v>
      </c>
      <c r="G154" s="4">
        <v>94</v>
      </c>
      <c r="H154" s="4">
        <v>73</v>
      </c>
      <c r="I154" s="4">
        <v>53</v>
      </c>
      <c r="J154" s="4">
        <v>39</v>
      </c>
      <c r="K154" s="4">
        <v>35</v>
      </c>
      <c r="L154" s="4">
        <v>33</v>
      </c>
      <c r="M154" s="4">
        <v>19</v>
      </c>
      <c r="N154" s="4">
        <v>30</v>
      </c>
      <c r="O154" s="4">
        <v>24</v>
      </c>
      <c r="P154" s="4">
        <v>23</v>
      </c>
      <c r="Q154" s="4">
        <v>21</v>
      </c>
      <c r="R154" s="4">
        <v>16</v>
      </c>
      <c r="S154" s="4">
        <v>16</v>
      </c>
      <c r="T154" s="4">
        <v>19</v>
      </c>
      <c r="U154" s="4">
        <v>14</v>
      </c>
      <c r="V154" s="4">
        <v>10</v>
      </c>
      <c r="W154" s="4">
        <v>9</v>
      </c>
      <c r="X154" s="4">
        <v>10</v>
      </c>
      <c r="Y154" s="4">
        <v>13</v>
      </c>
      <c r="Z154" s="4">
        <v>8</v>
      </c>
      <c r="AA154" s="4">
        <v>10</v>
      </c>
      <c r="AB154" s="4">
        <v>13</v>
      </c>
      <c r="AC154" s="4">
        <v>10</v>
      </c>
      <c r="AD154" s="4">
        <v>9</v>
      </c>
      <c r="AE154" s="2" t="s">
        <v>91</v>
      </c>
      <c r="AF154" s="2" t="s">
        <v>91</v>
      </c>
      <c r="AG154" s="2" t="s">
        <v>91</v>
      </c>
      <c r="AH154" s="2" t="s">
        <v>91</v>
      </c>
      <c r="AI154" s="2" t="s">
        <v>91</v>
      </c>
    </row>
    <row r="155" ht="16.5" hidden="1" spans="1:35">
      <c r="A155" s="2" t="s">
        <v>95</v>
      </c>
      <c r="B155" s="2" t="s">
        <v>34</v>
      </c>
      <c r="C155" s="4">
        <v>303</v>
      </c>
      <c r="D155" s="2" t="s">
        <v>74</v>
      </c>
      <c r="E155" s="6">
        <v>1</v>
      </c>
      <c r="F155" s="5">
        <v>0.4257</v>
      </c>
      <c r="G155" s="5">
        <v>0.3102</v>
      </c>
      <c r="H155" s="5">
        <v>0.2409</v>
      </c>
      <c r="I155" s="5">
        <v>0.1749</v>
      </c>
      <c r="J155" s="5">
        <v>0.1287</v>
      </c>
      <c r="K155" s="5">
        <v>0.1155</v>
      </c>
      <c r="L155" s="5">
        <v>0.1089</v>
      </c>
      <c r="M155" s="5">
        <v>0.0627</v>
      </c>
      <c r="N155" s="5">
        <v>0.099</v>
      </c>
      <c r="O155" s="5">
        <v>0.0792</v>
      </c>
      <c r="P155" s="5">
        <v>0.0759</v>
      </c>
      <c r="Q155" s="5">
        <v>0.0693</v>
      </c>
      <c r="R155" s="5">
        <v>0.0528</v>
      </c>
      <c r="S155" s="5">
        <v>0.0528</v>
      </c>
      <c r="T155" s="5">
        <v>0.0627</v>
      </c>
      <c r="U155" s="5">
        <v>0.0462</v>
      </c>
      <c r="V155" s="5">
        <v>0.033</v>
      </c>
      <c r="W155" s="5">
        <v>0.0297</v>
      </c>
      <c r="X155" s="5">
        <v>0.033</v>
      </c>
      <c r="Y155" s="5">
        <v>0.0429</v>
      </c>
      <c r="Z155" s="5">
        <v>0.0264</v>
      </c>
      <c r="AA155" s="5">
        <v>0.033</v>
      </c>
      <c r="AB155" s="5">
        <v>0.0429</v>
      </c>
      <c r="AC155" s="5">
        <v>0.033</v>
      </c>
      <c r="AD155" s="5">
        <v>0.0297</v>
      </c>
      <c r="AE155" s="2" t="s">
        <v>91</v>
      </c>
      <c r="AF155" s="2" t="s">
        <v>91</v>
      </c>
      <c r="AG155" s="2" t="s">
        <v>91</v>
      </c>
      <c r="AH155" s="2" t="s">
        <v>91</v>
      </c>
      <c r="AI155" s="2" t="s">
        <v>91</v>
      </c>
    </row>
    <row r="156" ht="16.5" spans="1:35">
      <c r="A156" s="2" t="s">
        <v>96</v>
      </c>
      <c r="B156" s="2" t="s">
        <v>34</v>
      </c>
      <c r="C156" s="4">
        <v>436</v>
      </c>
      <c r="D156" s="2" t="s">
        <v>19</v>
      </c>
      <c r="E156" s="4">
        <v>435</v>
      </c>
      <c r="F156" s="4">
        <v>182</v>
      </c>
      <c r="G156" s="4">
        <v>120</v>
      </c>
      <c r="H156" s="4">
        <v>97</v>
      </c>
      <c r="I156" s="4">
        <v>78</v>
      </c>
      <c r="J156" s="4">
        <v>66</v>
      </c>
      <c r="K156" s="4">
        <v>61</v>
      </c>
      <c r="L156" s="4">
        <v>55</v>
      </c>
      <c r="M156" s="4">
        <v>47</v>
      </c>
      <c r="N156" s="4">
        <v>36</v>
      </c>
      <c r="O156" s="4">
        <v>31</v>
      </c>
      <c r="P156" s="4">
        <v>22</v>
      </c>
      <c r="Q156" s="4">
        <v>22</v>
      </c>
      <c r="R156" s="4">
        <v>29</v>
      </c>
      <c r="S156" s="4">
        <v>30</v>
      </c>
      <c r="T156" s="4">
        <v>32</v>
      </c>
      <c r="U156" s="4">
        <v>24</v>
      </c>
      <c r="V156" s="4">
        <v>24</v>
      </c>
      <c r="W156" s="4">
        <v>22</v>
      </c>
      <c r="X156" s="4">
        <v>13</v>
      </c>
      <c r="Y156" s="4">
        <v>13</v>
      </c>
      <c r="Z156" s="4">
        <v>14</v>
      </c>
      <c r="AA156" s="4">
        <v>13</v>
      </c>
      <c r="AB156" s="4">
        <v>12</v>
      </c>
      <c r="AC156" s="4">
        <v>13</v>
      </c>
      <c r="AD156" s="2" t="s">
        <v>91</v>
      </c>
      <c r="AE156" s="2" t="s">
        <v>91</v>
      </c>
      <c r="AF156" s="2" t="s">
        <v>91</v>
      </c>
      <c r="AG156" s="2" t="s">
        <v>91</v>
      </c>
      <c r="AH156" s="2" t="s">
        <v>91</v>
      </c>
      <c r="AI156" s="2" t="s">
        <v>91</v>
      </c>
    </row>
    <row r="157" ht="16.5" hidden="1" spans="1:35">
      <c r="A157" s="2" t="s">
        <v>96</v>
      </c>
      <c r="B157" s="2" t="s">
        <v>34</v>
      </c>
      <c r="C157" s="4">
        <v>436</v>
      </c>
      <c r="D157" s="2" t="s">
        <v>74</v>
      </c>
      <c r="E157" s="5">
        <v>0.9977</v>
      </c>
      <c r="F157" s="5">
        <v>0.4174</v>
      </c>
      <c r="G157" s="5">
        <v>0.2752</v>
      </c>
      <c r="H157" s="5">
        <v>0.2225</v>
      </c>
      <c r="I157" s="5">
        <v>0.1789</v>
      </c>
      <c r="J157" s="5">
        <v>0.1514</v>
      </c>
      <c r="K157" s="5">
        <v>0.1399</v>
      </c>
      <c r="L157" s="5">
        <v>0.1261</v>
      </c>
      <c r="M157" s="5">
        <v>0.1078</v>
      </c>
      <c r="N157" s="5">
        <v>0.0826</v>
      </c>
      <c r="O157" s="5">
        <v>0.0711</v>
      </c>
      <c r="P157" s="5">
        <v>0.0505</v>
      </c>
      <c r="Q157" s="5">
        <v>0.0505</v>
      </c>
      <c r="R157" s="5">
        <v>0.0665</v>
      </c>
      <c r="S157" s="5">
        <v>0.0688</v>
      </c>
      <c r="T157" s="5">
        <v>0.0734</v>
      </c>
      <c r="U157" s="5">
        <v>0.055</v>
      </c>
      <c r="V157" s="5">
        <v>0.055</v>
      </c>
      <c r="W157" s="5">
        <v>0.0505</v>
      </c>
      <c r="X157" s="5">
        <v>0.0298</v>
      </c>
      <c r="Y157" s="5">
        <v>0.0298</v>
      </c>
      <c r="Z157" s="5">
        <v>0.0321</v>
      </c>
      <c r="AA157" s="5">
        <v>0.0298</v>
      </c>
      <c r="AB157" s="5">
        <v>0.0275</v>
      </c>
      <c r="AC157" s="5">
        <v>0.0298</v>
      </c>
      <c r="AD157" s="2" t="s">
        <v>91</v>
      </c>
      <c r="AE157" s="2" t="s">
        <v>91</v>
      </c>
      <c r="AF157" s="2" t="s">
        <v>91</v>
      </c>
      <c r="AG157" s="2" t="s">
        <v>91</v>
      </c>
      <c r="AH157" s="2" t="s">
        <v>91</v>
      </c>
      <c r="AI157" s="2" t="s">
        <v>91</v>
      </c>
    </row>
    <row r="158" ht="16.5" spans="1:35">
      <c r="A158" s="2" t="s">
        <v>33</v>
      </c>
      <c r="B158" s="2" t="s">
        <v>34</v>
      </c>
      <c r="C158" s="4">
        <v>498</v>
      </c>
      <c r="D158" s="2" t="s">
        <v>19</v>
      </c>
      <c r="E158" s="4">
        <v>498</v>
      </c>
      <c r="F158" s="4">
        <v>213</v>
      </c>
      <c r="G158" s="4">
        <v>135</v>
      </c>
      <c r="H158" s="4">
        <v>105</v>
      </c>
      <c r="I158" s="4">
        <v>83</v>
      </c>
      <c r="J158" s="4">
        <v>66</v>
      </c>
      <c r="K158" s="4">
        <v>62</v>
      </c>
      <c r="L158" s="4">
        <v>51</v>
      </c>
      <c r="M158" s="4">
        <v>49</v>
      </c>
      <c r="N158" s="4">
        <v>38</v>
      </c>
      <c r="O158" s="4">
        <v>32</v>
      </c>
      <c r="P158" s="4">
        <v>35</v>
      </c>
      <c r="Q158" s="4">
        <v>29</v>
      </c>
      <c r="R158" s="4">
        <v>32</v>
      </c>
      <c r="S158" s="4">
        <v>24</v>
      </c>
      <c r="T158" s="4">
        <v>22</v>
      </c>
      <c r="U158" s="4">
        <v>25</v>
      </c>
      <c r="V158" s="4">
        <v>17</v>
      </c>
      <c r="W158" s="4">
        <v>26</v>
      </c>
      <c r="X158" s="4">
        <v>18</v>
      </c>
      <c r="Y158" s="4">
        <v>12</v>
      </c>
      <c r="Z158" s="4">
        <v>10</v>
      </c>
      <c r="AA158" s="4">
        <v>17</v>
      </c>
      <c r="AB158" s="4">
        <v>13</v>
      </c>
      <c r="AC158" s="2" t="s">
        <v>91</v>
      </c>
      <c r="AD158" s="2" t="s">
        <v>91</v>
      </c>
      <c r="AE158" s="2" t="s">
        <v>91</v>
      </c>
      <c r="AF158" s="2" t="s">
        <v>91</v>
      </c>
      <c r="AG158" s="2" t="s">
        <v>91</v>
      </c>
      <c r="AH158" s="2" t="s">
        <v>91</v>
      </c>
      <c r="AI158" s="2" t="s">
        <v>91</v>
      </c>
    </row>
    <row r="159" ht="16.5" hidden="1" spans="1:35">
      <c r="A159" s="2" t="s">
        <v>33</v>
      </c>
      <c r="B159" s="2" t="s">
        <v>34</v>
      </c>
      <c r="C159" s="4">
        <v>498</v>
      </c>
      <c r="D159" s="2" t="s">
        <v>74</v>
      </c>
      <c r="E159" s="6">
        <v>1</v>
      </c>
      <c r="F159" s="5">
        <v>0.4277</v>
      </c>
      <c r="G159" s="5">
        <v>0.2711</v>
      </c>
      <c r="H159" s="5">
        <v>0.2108</v>
      </c>
      <c r="I159" s="5">
        <v>0.1667</v>
      </c>
      <c r="J159" s="5">
        <v>0.1325</v>
      </c>
      <c r="K159" s="5">
        <v>0.1245</v>
      </c>
      <c r="L159" s="5">
        <v>0.1024</v>
      </c>
      <c r="M159" s="5">
        <v>0.0984</v>
      </c>
      <c r="N159" s="5">
        <v>0.0763</v>
      </c>
      <c r="O159" s="5">
        <v>0.0643</v>
      </c>
      <c r="P159" s="5">
        <v>0.0703</v>
      </c>
      <c r="Q159" s="5">
        <v>0.0582</v>
      </c>
      <c r="R159" s="5">
        <v>0.0643</v>
      </c>
      <c r="S159" s="5">
        <v>0.0482</v>
      </c>
      <c r="T159" s="5">
        <v>0.0442</v>
      </c>
      <c r="U159" s="5">
        <v>0.0502</v>
      </c>
      <c r="V159" s="5">
        <v>0.0341</v>
      </c>
      <c r="W159" s="5">
        <v>0.0522</v>
      </c>
      <c r="X159" s="5">
        <v>0.0361</v>
      </c>
      <c r="Y159" s="5">
        <v>0.0241</v>
      </c>
      <c r="Z159" s="5">
        <v>0.0201</v>
      </c>
      <c r="AA159" s="5">
        <v>0.0341</v>
      </c>
      <c r="AB159" s="5">
        <v>0.0261</v>
      </c>
      <c r="AC159" s="2" t="s">
        <v>91</v>
      </c>
      <c r="AD159" s="2" t="s">
        <v>91</v>
      </c>
      <c r="AE159" s="2" t="s">
        <v>91</v>
      </c>
      <c r="AF159" s="2" t="s">
        <v>91</v>
      </c>
      <c r="AG159" s="2" t="s">
        <v>91</v>
      </c>
      <c r="AH159" s="2" t="s">
        <v>91</v>
      </c>
      <c r="AI159" s="2" t="s">
        <v>91</v>
      </c>
    </row>
    <row r="160" ht="16.5" spans="1:35">
      <c r="A160" s="2" t="s">
        <v>37</v>
      </c>
      <c r="B160" s="2" t="s">
        <v>34</v>
      </c>
      <c r="C160" s="4">
        <v>630</v>
      </c>
      <c r="D160" s="2" t="s">
        <v>19</v>
      </c>
      <c r="E160" s="4">
        <v>629</v>
      </c>
      <c r="F160" s="4">
        <v>248</v>
      </c>
      <c r="G160" s="4">
        <v>159</v>
      </c>
      <c r="H160" s="4">
        <v>134</v>
      </c>
      <c r="I160" s="4">
        <v>100</v>
      </c>
      <c r="J160" s="4">
        <v>78</v>
      </c>
      <c r="K160" s="4">
        <v>75</v>
      </c>
      <c r="L160" s="4">
        <v>67</v>
      </c>
      <c r="M160" s="4">
        <v>62</v>
      </c>
      <c r="N160" s="4">
        <v>41</v>
      </c>
      <c r="O160" s="4">
        <v>42</v>
      </c>
      <c r="P160" s="4">
        <v>33</v>
      </c>
      <c r="Q160" s="4">
        <v>30</v>
      </c>
      <c r="R160" s="4">
        <v>37</v>
      </c>
      <c r="S160" s="4">
        <v>24</v>
      </c>
      <c r="T160" s="4">
        <v>19</v>
      </c>
      <c r="U160" s="4">
        <v>20</v>
      </c>
      <c r="V160" s="4">
        <v>22</v>
      </c>
      <c r="W160" s="4">
        <v>18</v>
      </c>
      <c r="X160" s="4">
        <v>18</v>
      </c>
      <c r="Y160" s="4">
        <v>20</v>
      </c>
      <c r="Z160" s="4">
        <v>14</v>
      </c>
      <c r="AA160" s="4">
        <v>10</v>
      </c>
      <c r="AB160" s="2" t="s">
        <v>91</v>
      </c>
      <c r="AC160" s="2" t="s">
        <v>91</v>
      </c>
      <c r="AD160" s="2" t="s">
        <v>91</v>
      </c>
      <c r="AE160" s="2" t="s">
        <v>91</v>
      </c>
      <c r="AF160" s="2" t="s">
        <v>91</v>
      </c>
      <c r="AG160" s="2" t="s">
        <v>91</v>
      </c>
      <c r="AH160" s="2" t="s">
        <v>91</v>
      </c>
      <c r="AI160" s="2" t="s">
        <v>91</v>
      </c>
    </row>
    <row r="161" ht="16.5" hidden="1" spans="1:35">
      <c r="A161" s="2" t="s">
        <v>37</v>
      </c>
      <c r="B161" s="2" t="s">
        <v>34</v>
      </c>
      <c r="C161" s="4">
        <v>630</v>
      </c>
      <c r="D161" s="2" t="s">
        <v>74</v>
      </c>
      <c r="E161" s="5">
        <v>0.9984</v>
      </c>
      <c r="F161" s="5">
        <v>0.3937</v>
      </c>
      <c r="G161" s="5">
        <v>0.2524</v>
      </c>
      <c r="H161" s="5">
        <v>0.2127</v>
      </c>
      <c r="I161" s="5">
        <v>0.1587</v>
      </c>
      <c r="J161" s="5">
        <v>0.1238</v>
      </c>
      <c r="K161" s="5">
        <v>0.119</v>
      </c>
      <c r="L161" s="5">
        <v>0.1063</v>
      </c>
      <c r="M161" s="5">
        <v>0.0984</v>
      </c>
      <c r="N161" s="5">
        <v>0.0651</v>
      </c>
      <c r="O161" s="5">
        <v>0.0667</v>
      </c>
      <c r="P161" s="5">
        <v>0.0524</v>
      </c>
      <c r="Q161" s="5">
        <v>0.0476</v>
      </c>
      <c r="R161" s="5">
        <v>0.0587</v>
      </c>
      <c r="S161" s="5">
        <v>0.0381</v>
      </c>
      <c r="T161" s="5">
        <v>0.0302</v>
      </c>
      <c r="U161" s="5">
        <v>0.0317</v>
      </c>
      <c r="V161" s="5">
        <v>0.0349</v>
      </c>
      <c r="W161" s="5">
        <v>0.0286</v>
      </c>
      <c r="X161" s="5">
        <v>0.0286</v>
      </c>
      <c r="Y161" s="5">
        <v>0.0317</v>
      </c>
      <c r="Z161" s="5">
        <v>0.0222</v>
      </c>
      <c r="AA161" s="5">
        <v>0.0159</v>
      </c>
      <c r="AB161" s="2" t="s">
        <v>91</v>
      </c>
      <c r="AC161" s="2" t="s">
        <v>91</v>
      </c>
      <c r="AD161" s="2" t="s">
        <v>91</v>
      </c>
      <c r="AE161" s="2" t="s">
        <v>91</v>
      </c>
      <c r="AF161" s="2" t="s">
        <v>91</v>
      </c>
      <c r="AG161" s="2" t="s">
        <v>91</v>
      </c>
      <c r="AH161" s="2" t="s">
        <v>91</v>
      </c>
      <c r="AI161" s="2" t="s">
        <v>91</v>
      </c>
    </row>
    <row r="162" ht="16.5" spans="1:35">
      <c r="A162" s="2" t="s">
        <v>38</v>
      </c>
      <c r="B162" s="2" t="s">
        <v>34</v>
      </c>
      <c r="C162" s="4">
        <v>361</v>
      </c>
      <c r="D162" s="2" t="s">
        <v>19</v>
      </c>
      <c r="E162" s="4">
        <v>360</v>
      </c>
      <c r="F162" s="4">
        <v>130</v>
      </c>
      <c r="G162" s="4">
        <v>93</v>
      </c>
      <c r="H162" s="4">
        <v>70</v>
      </c>
      <c r="I162" s="4">
        <v>61</v>
      </c>
      <c r="J162" s="4">
        <v>44</v>
      </c>
      <c r="K162" s="4">
        <v>38</v>
      </c>
      <c r="L162" s="4">
        <v>32</v>
      </c>
      <c r="M162" s="4">
        <v>36</v>
      </c>
      <c r="N162" s="4">
        <v>27</v>
      </c>
      <c r="O162" s="4">
        <v>22</v>
      </c>
      <c r="P162" s="4">
        <v>21</v>
      </c>
      <c r="Q162" s="4">
        <v>19</v>
      </c>
      <c r="R162" s="4">
        <v>16</v>
      </c>
      <c r="S162" s="4">
        <v>13</v>
      </c>
      <c r="T162" s="4">
        <v>14</v>
      </c>
      <c r="U162" s="4">
        <v>16</v>
      </c>
      <c r="V162" s="4">
        <v>15</v>
      </c>
      <c r="W162" s="4">
        <v>11</v>
      </c>
      <c r="X162" s="4">
        <v>17</v>
      </c>
      <c r="Y162" s="4">
        <v>10</v>
      </c>
      <c r="Z162" s="4">
        <v>9</v>
      </c>
      <c r="AA162" s="2" t="s">
        <v>91</v>
      </c>
      <c r="AB162" s="2" t="s">
        <v>91</v>
      </c>
      <c r="AC162" s="2" t="s">
        <v>91</v>
      </c>
      <c r="AD162" s="2" t="s">
        <v>91</v>
      </c>
      <c r="AE162" s="2" t="s">
        <v>91</v>
      </c>
      <c r="AF162" s="2" t="s">
        <v>91</v>
      </c>
      <c r="AG162" s="2" t="s">
        <v>91</v>
      </c>
      <c r="AH162" s="2" t="s">
        <v>91</v>
      </c>
      <c r="AI162" s="2" t="s">
        <v>91</v>
      </c>
    </row>
    <row r="163" ht="16.5" hidden="1" spans="1:35">
      <c r="A163" s="2" t="s">
        <v>38</v>
      </c>
      <c r="B163" s="2" t="s">
        <v>34</v>
      </c>
      <c r="C163" s="4">
        <v>361</v>
      </c>
      <c r="D163" s="2" t="s">
        <v>74</v>
      </c>
      <c r="E163" s="5">
        <v>0.9972</v>
      </c>
      <c r="F163" s="5">
        <v>0.3601</v>
      </c>
      <c r="G163" s="5">
        <v>0.2576</v>
      </c>
      <c r="H163" s="5">
        <v>0.1939</v>
      </c>
      <c r="I163" s="5">
        <v>0.169</v>
      </c>
      <c r="J163" s="5">
        <v>0.1219</v>
      </c>
      <c r="K163" s="5">
        <v>0.1053</v>
      </c>
      <c r="L163" s="5">
        <v>0.0886</v>
      </c>
      <c r="M163" s="5">
        <v>0.0997</v>
      </c>
      <c r="N163" s="5">
        <v>0.0748</v>
      </c>
      <c r="O163" s="5">
        <v>0.0609</v>
      </c>
      <c r="P163" s="5">
        <v>0.0582</v>
      </c>
      <c r="Q163" s="5">
        <v>0.0526</v>
      </c>
      <c r="R163" s="5">
        <v>0.0443</v>
      </c>
      <c r="S163" s="5">
        <v>0.036</v>
      </c>
      <c r="T163" s="5">
        <v>0.0388</v>
      </c>
      <c r="U163" s="5">
        <v>0.0443</v>
      </c>
      <c r="V163" s="5">
        <v>0.0416</v>
      </c>
      <c r="W163" s="5">
        <v>0.0305</v>
      </c>
      <c r="X163" s="5">
        <v>0.0471</v>
      </c>
      <c r="Y163" s="5">
        <v>0.0277</v>
      </c>
      <c r="Z163" s="5">
        <v>0.0249</v>
      </c>
      <c r="AA163" s="2" t="s">
        <v>91</v>
      </c>
      <c r="AB163" s="2" t="s">
        <v>91</v>
      </c>
      <c r="AC163" s="2" t="s">
        <v>91</v>
      </c>
      <c r="AD163" s="2" t="s">
        <v>91</v>
      </c>
      <c r="AE163" s="2" t="s">
        <v>91</v>
      </c>
      <c r="AF163" s="2" t="s">
        <v>91</v>
      </c>
      <c r="AG163" s="2" t="s">
        <v>91</v>
      </c>
      <c r="AH163" s="2" t="s">
        <v>91</v>
      </c>
      <c r="AI163" s="2" t="s">
        <v>91</v>
      </c>
    </row>
    <row r="164" ht="16.5" spans="1:35">
      <c r="A164" s="2" t="s">
        <v>39</v>
      </c>
      <c r="B164" s="2" t="s">
        <v>34</v>
      </c>
      <c r="C164" s="4">
        <v>317</v>
      </c>
      <c r="D164" s="2" t="s">
        <v>19</v>
      </c>
      <c r="E164" s="4">
        <v>317</v>
      </c>
      <c r="F164" s="4">
        <v>127</v>
      </c>
      <c r="G164" s="4">
        <v>81</v>
      </c>
      <c r="H164" s="4">
        <v>62</v>
      </c>
      <c r="I164" s="4">
        <v>57</v>
      </c>
      <c r="J164" s="4">
        <v>44</v>
      </c>
      <c r="K164" s="4">
        <v>39</v>
      </c>
      <c r="L164" s="4">
        <v>31</v>
      </c>
      <c r="M164" s="4">
        <v>26</v>
      </c>
      <c r="N164" s="4">
        <v>19</v>
      </c>
      <c r="O164" s="4">
        <v>13</v>
      </c>
      <c r="P164" s="4">
        <v>14</v>
      </c>
      <c r="Q164" s="4">
        <v>16</v>
      </c>
      <c r="R164" s="4">
        <v>14</v>
      </c>
      <c r="S164" s="4">
        <v>12</v>
      </c>
      <c r="T164" s="4">
        <v>12</v>
      </c>
      <c r="U164" s="4">
        <v>10</v>
      </c>
      <c r="V164" s="4">
        <v>8</v>
      </c>
      <c r="W164" s="4">
        <v>7</v>
      </c>
      <c r="X164" s="4">
        <v>7</v>
      </c>
      <c r="Y164" s="4">
        <v>6</v>
      </c>
      <c r="Z164" s="2" t="s">
        <v>91</v>
      </c>
      <c r="AA164" s="2" t="s">
        <v>91</v>
      </c>
      <c r="AB164" s="2" t="s">
        <v>91</v>
      </c>
      <c r="AC164" s="2" t="s">
        <v>91</v>
      </c>
      <c r="AD164" s="2" t="s">
        <v>91</v>
      </c>
      <c r="AE164" s="2" t="s">
        <v>91</v>
      </c>
      <c r="AF164" s="2" t="s">
        <v>91</v>
      </c>
      <c r="AG164" s="2" t="s">
        <v>91</v>
      </c>
      <c r="AH164" s="2" t="s">
        <v>91</v>
      </c>
      <c r="AI164" s="2" t="s">
        <v>91</v>
      </c>
    </row>
    <row r="165" ht="16.5" hidden="1" spans="1:35">
      <c r="A165" s="2" t="s">
        <v>39</v>
      </c>
      <c r="B165" s="2" t="s">
        <v>34</v>
      </c>
      <c r="C165" s="4">
        <v>317</v>
      </c>
      <c r="D165" s="2" t="s">
        <v>74</v>
      </c>
      <c r="E165" s="6">
        <v>1</v>
      </c>
      <c r="F165" s="5">
        <v>0.4006</v>
      </c>
      <c r="G165" s="5">
        <v>0.2555</v>
      </c>
      <c r="H165" s="5">
        <v>0.1956</v>
      </c>
      <c r="I165" s="5">
        <v>0.1798</v>
      </c>
      <c r="J165" s="5">
        <v>0.1388</v>
      </c>
      <c r="K165" s="5">
        <v>0.123</v>
      </c>
      <c r="L165" s="5">
        <v>0.0978</v>
      </c>
      <c r="M165" s="5">
        <v>0.082</v>
      </c>
      <c r="N165" s="5">
        <v>0.0599</v>
      </c>
      <c r="O165" s="5">
        <v>0.041</v>
      </c>
      <c r="P165" s="5">
        <v>0.0442</v>
      </c>
      <c r="Q165" s="5">
        <v>0.0505</v>
      </c>
      <c r="R165" s="5">
        <v>0.0442</v>
      </c>
      <c r="S165" s="5">
        <v>0.0379</v>
      </c>
      <c r="T165" s="5">
        <v>0.0379</v>
      </c>
      <c r="U165" s="5">
        <v>0.0315</v>
      </c>
      <c r="V165" s="5">
        <v>0.0252</v>
      </c>
      <c r="W165" s="5">
        <v>0.0221</v>
      </c>
      <c r="X165" s="5">
        <v>0.0221</v>
      </c>
      <c r="Y165" s="5">
        <v>0.0189</v>
      </c>
      <c r="Z165" s="2" t="s">
        <v>91</v>
      </c>
      <c r="AA165" s="2" t="s">
        <v>91</v>
      </c>
      <c r="AB165" s="2" t="s">
        <v>91</v>
      </c>
      <c r="AC165" s="2" t="s">
        <v>91</v>
      </c>
      <c r="AD165" s="2" t="s">
        <v>91</v>
      </c>
      <c r="AE165" s="2" t="s">
        <v>91</v>
      </c>
      <c r="AF165" s="2" t="s">
        <v>91</v>
      </c>
      <c r="AG165" s="2" t="s">
        <v>91</v>
      </c>
      <c r="AH165" s="2" t="s">
        <v>91</v>
      </c>
      <c r="AI165" s="2" t="s">
        <v>91</v>
      </c>
    </row>
    <row r="166" ht="16.5" spans="1:35">
      <c r="A166" s="2" t="s">
        <v>40</v>
      </c>
      <c r="B166" s="2" t="s">
        <v>34</v>
      </c>
      <c r="C166" s="4">
        <v>353</v>
      </c>
      <c r="D166" s="2" t="s">
        <v>19</v>
      </c>
      <c r="E166" s="4">
        <v>353</v>
      </c>
      <c r="F166" s="4">
        <v>125</v>
      </c>
      <c r="G166" s="4">
        <v>81</v>
      </c>
      <c r="H166" s="4">
        <v>60</v>
      </c>
      <c r="I166" s="4">
        <v>47</v>
      </c>
      <c r="J166" s="4">
        <v>43</v>
      </c>
      <c r="K166" s="4">
        <v>28</v>
      </c>
      <c r="L166" s="4">
        <v>31</v>
      </c>
      <c r="M166" s="4">
        <v>30</v>
      </c>
      <c r="N166" s="4">
        <v>26</v>
      </c>
      <c r="O166" s="4">
        <v>23</v>
      </c>
      <c r="P166" s="4">
        <v>21</v>
      </c>
      <c r="Q166" s="4">
        <v>15</v>
      </c>
      <c r="R166" s="4">
        <v>23</v>
      </c>
      <c r="S166" s="4">
        <v>22</v>
      </c>
      <c r="T166" s="4">
        <v>18</v>
      </c>
      <c r="U166" s="4">
        <v>10</v>
      </c>
      <c r="V166" s="4">
        <v>11</v>
      </c>
      <c r="W166" s="4">
        <v>17</v>
      </c>
      <c r="X166" s="4">
        <v>11</v>
      </c>
      <c r="Y166" s="2" t="s">
        <v>91</v>
      </c>
      <c r="Z166" s="2" t="s">
        <v>91</v>
      </c>
      <c r="AA166" s="2" t="s">
        <v>91</v>
      </c>
      <c r="AB166" s="2" t="s">
        <v>91</v>
      </c>
      <c r="AC166" s="2" t="s">
        <v>91</v>
      </c>
      <c r="AD166" s="2" t="s">
        <v>91</v>
      </c>
      <c r="AE166" s="2" t="s">
        <v>91</v>
      </c>
      <c r="AF166" s="2" t="s">
        <v>91</v>
      </c>
      <c r="AG166" s="2" t="s">
        <v>91</v>
      </c>
      <c r="AH166" s="2" t="s">
        <v>91</v>
      </c>
      <c r="AI166" s="2" t="s">
        <v>91</v>
      </c>
    </row>
    <row r="167" ht="16.5" hidden="1" spans="1:35">
      <c r="A167" s="2" t="s">
        <v>40</v>
      </c>
      <c r="B167" s="2" t="s">
        <v>34</v>
      </c>
      <c r="C167" s="4">
        <v>353</v>
      </c>
      <c r="D167" s="2" t="s">
        <v>74</v>
      </c>
      <c r="E167" s="6">
        <v>1</v>
      </c>
      <c r="F167" s="5">
        <v>0.3541</v>
      </c>
      <c r="G167" s="5">
        <v>0.2295</v>
      </c>
      <c r="H167" s="6">
        <v>0.17</v>
      </c>
      <c r="I167" s="5">
        <v>0.1331</v>
      </c>
      <c r="J167" s="5">
        <v>0.1218</v>
      </c>
      <c r="K167" s="5">
        <v>0.0793</v>
      </c>
      <c r="L167" s="5">
        <v>0.0878</v>
      </c>
      <c r="M167" s="5">
        <v>0.085</v>
      </c>
      <c r="N167" s="5">
        <v>0.0737</v>
      </c>
      <c r="O167" s="5">
        <v>0.0652</v>
      </c>
      <c r="P167" s="5">
        <v>0.0595</v>
      </c>
      <c r="Q167" s="5">
        <v>0.0425</v>
      </c>
      <c r="R167" s="5">
        <v>0.0652</v>
      </c>
      <c r="S167" s="5">
        <v>0.0623</v>
      </c>
      <c r="T167" s="5">
        <v>0.051</v>
      </c>
      <c r="U167" s="5">
        <v>0.0283</v>
      </c>
      <c r="V167" s="5">
        <v>0.0312</v>
      </c>
      <c r="W167" s="5">
        <v>0.0482</v>
      </c>
      <c r="X167" s="5">
        <v>0.0312</v>
      </c>
      <c r="Y167" s="2" t="s">
        <v>91</v>
      </c>
      <c r="Z167" s="2" t="s">
        <v>91</v>
      </c>
      <c r="AA167" s="2" t="s">
        <v>91</v>
      </c>
      <c r="AB167" s="2" t="s">
        <v>91</v>
      </c>
      <c r="AC167" s="2" t="s">
        <v>91</v>
      </c>
      <c r="AD167" s="2" t="s">
        <v>91</v>
      </c>
      <c r="AE167" s="2" t="s">
        <v>91</v>
      </c>
      <c r="AF167" s="2" t="s">
        <v>91</v>
      </c>
      <c r="AG167" s="2" t="s">
        <v>91</v>
      </c>
      <c r="AH167" s="2" t="s">
        <v>91</v>
      </c>
      <c r="AI167" s="2" t="s">
        <v>91</v>
      </c>
    </row>
    <row r="168" ht="16.5" spans="1:35">
      <c r="A168" s="2" t="s">
        <v>41</v>
      </c>
      <c r="B168" s="2" t="s">
        <v>34</v>
      </c>
      <c r="C168" s="4">
        <v>434</v>
      </c>
      <c r="D168" s="2" t="s">
        <v>19</v>
      </c>
      <c r="E168" s="4">
        <v>434</v>
      </c>
      <c r="F168" s="4">
        <v>160</v>
      </c>
      <c r="G168" s="4">
        <v>88</v>
      </c>
      <c r="H168" s="4">
        <v>73</v>
      </c>
      <c r="I168" s="4">
        <v>59</v>
      </c>
      <c r="J168" s="4">
        <v>51</v>
      </c>
      <c r="K168" s="4">
        <v>43</v>
      </c>
      <c r="L168" s="4">
        <v>45</v>
      </c>
      <c r="M168" s="4">
        <v>30</v>
      </c>
      <c r="N168" s="4">
        <v>24</v>
      </c>
      <c r="O168" s="4">
        <v>23</v>
      </c>
      <c r="P168" s="4">
        <v>22</v>
      </c>
      <c r="Q168" s="4">
        <v>19</v>
      </c>
      <c r="R168" s="4">
        <v>13</v>
      </c>
      <c r="S168" s="4">
        <v>14</v>
      </c>
      <c r="T168" s="4">
        <v>15</v>
      </c>
      <c r="U168" s="4">
        <v>17</v>
      </c>
      <c r="V168" s="4">
        <v>11</v>
      </c>
      <c r="W168" s="4">
        <v>6</v>
      </c>
      <c r="X168" s="2" t="s">
        <v>91</v>
      </c>
      <c r="Y168" s="2" t="s">
        <v>91</v>
      </c>
      <c r="Z168" s="2" t="s">
        <v>91</v>
      </c>
      <c r="AA168" s="2" t="s">
        <v>91</v>
      </c>
      <c r="AB168" s="2" t="s">
        <v>91</v>
      </c>
      <c r="AC168" s="2" t="s">
        <v>91</v>
      </c>
      <c r="AD168" s="2" t="s">
        <v>91</v>
      </c>
      <c r="AE168" s="2" t="s">
        <v>91</v>
      </c>
      <c r="AF168" s="2" t="s">
        <v>91</v>
      </c>
      <c r="AG168" s="2" t="s">
        <v>91</v>
      </c>
      <c r="AH168" s="2" t="s">
        <v>91</v>
      </c>
      <c r="AI168" s="2" t="s">
        <v>91</v>
      </c>
    </row>
    <row r="169" ht="16.5" hidden="1" spans="1:35">
      <c r="A169" s="2" t="s">
        <v>41</v>
      </c>
      <c r="B169" s="2" t="s">
        <v>34</v>
      </c>
      <c r="C169" s="4">
        <v>434</v>
      </c>
      <c r="D169" s="2" t="s">
        <v>74</v>
      </c>
      <c r="E169" s="6">
        <v>1</v>
      </c>
      <c r="F169" s="5">
        <v>0.3687</v>
      </c>
      <c r="G169" s="5">
        <v>0.2028</v>
      </c>
      <c r="H169" s="5">
        <v>0.1682</v>
      </c>
      <c r="I169" s="5">
        <v>0.1359</v>
      </c>
      <c r="J169" s="5">
        <v>0.1175</v>
      </c>
      <c r="K169" s="5">
        <v>0.0991</v>
      </c>
      <c r="L169" s="5">
        <v>0.1037</v>
      </c>
      <c r="M169" s="5">
        <v>0.0691</v>
      </c>
      <c r="N169" s="5">
        <v>0.0553</v>
      </c>
      <c r="O169" s="5">
        <v>0.053</v>
      </c>
      <c r="P169" s="5">
        <v>0.0507</v>
      </c>
      <c r="Q169" s="5">
        <v>0.0438</v>
      </c>
      <c r="R169" s="6">
        <v>0.03</v>
      </c>
      <c r="S169" s="5">
        <v>0.0323</v>
      </c>
      <c r="T169" s="5">
        <v>0.0346</v>
      </c>
      <c r="U169" s="5">
        <v>0.0392</v>
      </c>
      <c r="V169" s="5">
        <v>0.0253</v>
      </c>
      <c r="W169" s="5">
        <v>0.0138</v>
      </c>
      <c r="X169" s="2" t="s">
        <v>91</v>
      </c>
      <c r="Y169" s="2" t="s">
        <v>91</v>
      </c>
      <c r="Z169" s="2" t="s">
        <v>91</v>
      </c>
      <c r="AA169" s="2" t="s">
        <v>91</v>
      </c>
      <c r="AB169" s="2" t="s">
        <v>91</v>
      </c>
      <c r="AC169" s="2" t="s">
        <v>91</v>
      </c>
      <c r="AD169" s="2" t="s">
        <v>91</v>
      </c>
      <c r="AE169" s="2" t="s">
        <v>91</v>
      </c>
      <c r="AF169" s="2" t="s">
        <v>91</v>
      </c>
      <c r="AG169" s="2" t="s">
        <v>91</v>
      </c>
      <c r="AH169" s="2" t="s">
        <v>91</v>
      </c>
      <c r="AI169" s="2" t="s">
        <v>91</v>
      </c>
    </row>
    <row r="170" ht="16.5" spans="1:35">
      <c r="A170" s="2" t="s">
        <v>42</v>
      </c>
      <c r="B170" s="2" t="s">
        <v>34</v>
      </c>
      <c r="C170" s="4">
        <v>730</v>
      </c>
      <c r="D170" s="2" t="s">
        <v>19</v>
      </c>
      <c r="E170" s="4">
        <v>730</v>
      </c>
      <c r="F170" s="4">
        <v>200</v>
      </c>
      <c r="G170" s="4">
        <v>120</v>
      </c>
      <c r="H170" s="4">
        <v>80</v>
      </c>
      <c r="I170" s="4">
        <v>73</v>
      </c>
      <c r="J170" s="4">
        <v>56</v>
      </c>
      <c r="K170" s="4">
        <v>49</v>
      </c>
      <c r="L170" s="4">
        <v>54</v>
      </c>
      <c r="M170" s="4">
        <v>39</v>
      </c>
      <c r="N170" s="4">
        <v>31</v>
      </c>
      <c r="O170" s="4">
        <v>27</v>
      </c>
      <c r="P170" s="4">
        <v>23</v>
      </c>
      <c r="Q170" s="4">
        <v>20</v>
      </c>
      <c r="R170" s="4">
        <v>23</v>
      </c>
      <c r="S170" s="4">
        <v>20</v>
      </c>
      <c r="T170" s="4">
        <v>19</v>
      </c>
      <c r="U170" s="4">
        <v>18</v>
      </c>
      <c r="V170" s="4">
        <v>16</v>
      </c>
      <c r="W170" s="2" t="s">
        <v>91</v>
      </c>
      <c r="X170" s="2" t="s">
        <v>91</v>
      </c>
      <c r="Y170" s="2" t="s">
        <v>91</v>
      </c>
      <c r="Z170" s="2" t="s">
        <v>91</v>
      </c>
      <c r="AA170" s="2" t="s">
        <v>91</v>
      </c>
      <c r="AB170" s="2" t="s">
        <v>91</v>
      </c>
      <c r="AC170" s="2" t="s">
        <v>91</v>
      </c>
      <c r="AD170" s="2" t="s">
        <v>91</v>
      </c>
      <c r="AE170" s="2" t="s">
        <v>91</v>
      </c>
      <c r="AF170" s="2" t="s">
        <v>91</v>
      </c>
      <c r="AG170" s="2" t="s">
        <v>91</v>
      </c>
      <c r="AH170" s="2" t="s">
        <v>91</v>
      </c>
      <c r="AI170" s="2" t="s">
        <v>91</v>
      </c>
    </row>
    <row r="171" ht="16.5" hidden="1" spans="1:35">
      <c r="A171" s="2" t="s">
        <v>42</v>
      </c>
      <c r="B171" s="2" t="s">
        <v>34</v>
      </c>
      <c r="C171" s="4">
        <v>730</v>
      </c>
      <c r="D171" s="2" t="s">
        <v>74</v>
      </c>
      <c r="E171" s="6">
        <v>1</v>
      </c>
      <c r="F171" s="5">
        <v>0.274</v>
      </c>
      <c r="G171" s="5">
        <v>0.1644</v>
      </c>
      <c r="H171" s="5">
        <v>0.1096</v>
      </c>
      <c r="I171" s="6">
        <v>0.1</v>
      </c>
      <c r="J171" s="5">
        <v>0.0767</v>
      </c>
      <c r="K171" s="5">
        <v>0.0671</v>
      </c>
      <c r="L171" s="5">
        <v>0.074</v>
      </c>
      <c r="M171" s="5">
        <v>0.0534</v>
      </c>
      <c r="N171" s="5">
        <v>0.0425</v>
      </c>
      <c r="O171" s="5">
        <v>0.037</v>
      </c>
      <c r="P171" s="5">
        <v>0.0315</v>
      </c>
      <c r="Q171" s="5">
        <v>0.0274</v>
      </c>
      <c r="R171" s="5">
        <v>0.0315</v>
      </c>
      <c r="S171" s="5">
        <v>0.0274</v>
      </c>
      <c r="T171" s="5">
        <v>0.026</v>
      </c>
      <c r="U171" s="5">
        <v>0.0247</v>
      </c>
      <c r="V171" s="5">
        <v>0.0219</v>
      </c>
      <c r="W171" s="2" t="s">
        <v>91</v>
      </c>
      <c r="X171" s="2" t="s">
        <v>91</v>
      </c>
      <c r="Y171" s="2" t="s">
        <v>91</v>
      </c>
      <c r="Z171" s="2" t="s">
        <v>91</v>
      </c>
      <c r="AA171" s="2" t="s">
        <v>91</v>
      </c>
      <c r="AB171" s="2" t="s">
        <v>91</v>
      </c>
      <c r="AC171" s="2" t="s">
        <v>91</v>
      </c>
      <c r="AD171" s="2" t="s">
        <v>91</v>
      </c>
      <c r="AE171" s="2" t="s">
        <v>91</v>
      </c>
      <c r="AF171" s="2" t="s">
        <v>91</v>
      </c>
      <c r="AG171" s="2" t="s">
        <v>91</v>
      </c>
      <c r="AH171" s="2" t="s">
        <v>91</v>
      </c>
      <c r="AI171" s="2" t="s">
        <v>91</v>
      </c>
    </row>
    <row r="172" ht="16.5" spans="1:35">
      <c r="A172" s="2" t="s">
        <v>43</v>
      </c>
      <c r="B172" s="2" t="s">
        <v>34</v>
      </c>
      <c r="C172" s="4">
        <v>258</v>
      </c>
      <c r="D172" s="2" t="s">
        <v>19</v>
      </c>
      <c r="E172" s="4">
        <v>258</v>
      </c>
      <c r="F172" s="4">
        <v>94</v>
      </c>
      <c r="G172" s="4">
        <v>57</v>
      </c>
      <c r="H172" s="4">
        <v>50</v>
      </c>
      <c r="I172" s="4">
        <v>46</v>
      </c>
      <c r="J172" s="4">
        <v>35</v>
      </c>
      <c r="K172" s="4">
        <v>28</v>
      </c>
      <c r="L172" s="4">
        <v>32</v>
      </c>
      <c r="M172" s="4">
        <v>27</v>
      </c>
      <c r="N172" s="4">
        <v>19</v>
      </c>
      <c r="O172" s="4">
        <v>19</v>
      </c>
      <c r="P172" s="4">
        <v>18</v>
      </c>
      <c r="Q172" s="4">
        <v>20</v>
      </c>
      <c r="R172" s="4">
        <v>15</v>
      </c>
      <c r="S172" s="4">
        <v>13</v>
      </c>
      <c r="T172" s="4">
        <v>13</v>
      </c>
      <c r="U172" s="4">
        <v>9</v>
      </c>
      <c r="V172" s="2" t="s">
        <v>91</v>
      </c>
      <c r="W172" s="2" t="s">
        <v>91</v>
      </c>
      <c r="X172" s="2" t="s">
        <v>91</v>
      </c>
      <c r="Y172" s="2" t="s">
        <v>91</v>
      </c>
      <c r="Z172" s="2" t="s">
        <v>91</v>
      </c>
      <c r="AA172" s="2" t="s">
        <v>91</v>
      </c>
      <c r="AB172" s="2" t="s">
        <v>91</v>
      </c>
      <c r="AC172" s="2" t="s">
        <v>91</v>
      </c>
      <c r="AD172" s="2" t="s">
        <v>91</v>
      </c>
      <c r="AE172" s="2" t="s">
        <v>91</v>
      </c>
      <c r="AF172" s="2" t="s">
        <v>91</v>
      </c>
      <c r="AG172" s="2" t="s">
        <v>91</v>
      </c>
      <c r="AH172" s="2" t="s">
        <v>91</v>
      </c>
      <c r="AI172" s="2" t="s">
        <v>91</v>
      </c>
    </row>
    <row r="173" ht="16.5" hidden="1" spans="1:35">
      <c r="A173" s="2" t="s">
        <v>43</v>
      </c>
      <c r="B173" s="2" t="s">
        <v>34</v>
      </c>
      <c r="C173" s="4">
        <v>258</v>
      </c>
      <c r="D173" s="2" t="s">
        <v>74</v>
      </c>
      <c r="E173" s="6">
        <v>1</v>
      </c>
      <c r="F173" s="5">
        <v>0.3643</v>
      </c>
      <c r="G173" s="5">
        <v>0.2209</v>
      </c>
      <c r="H173" s="5">
        <v>0.1938</v>
      </c>
      <c r="I173" s="5">
        <v>0.1783</v>
      </c>
      <c r="J173" s="5">
        <v>0.1357</v>
      </c>
      <c r="K173" s="5">
        <v>0.1085</v>
      </c>
      <c r="L173" s="5">
        <v>0.124</v>
      </c>
      <c r="M173" s="5">
        <v>0.1047</v>
      </c>
      <c r="N173" s="5">
        <v>0.0736</v>
      </c>
      <c r="O173" s="5">
        <v>0.0736</v>
      </c>
      <c r="P173" s="5">
        <v>0.0698</v>
      </c>
      <c r="Q173" s="5">
        <v>0.0775</v>
      </c>
      <c r="R173" s="5">
        <v>0.0581</v>
      </c>
      <c r="S173" s="5">
        <v>0.0504</v>
      </c>
      <c r="T173" s="5">
        <v>0.0504</v>
      </c>
      <c r="U173" s="5">
        <v>0.0349</v>
      </c>
      <c r="V173" s="2" t="s">
        <v>91</v>
      </c>
      <c r="W173" s="2" t="s">
        <v>91</v>
      </c>
      <c r="X173" s="2" t="s">
        <v>91</v>
      </c>
      <c r="Y173" s="2" t="s">
        <v>91</v>
      </c>
      <c r="Z173" s="2" t="s">
        <v>91</v>
      </c>
      <c r="AA173" s="2" t="s">
        <v>91</v>
      </c>
      <c r="AB173" s="2" t="s">
        <v>91</v>
      </c>
      <c r="AC173" s="2" t="s">
        <v>91</v>
      </c>
      <c r="AD173" s="2" t="s">
        <v>91</v>
      </c>
      <c r="AE173" s="2" t="s">
        <v>91</v>
      </c>
      <c r="AF173" s="2" t="s">
        <v>91</v>
      </c>
      <c r="AG173" s="2" t="s">
        <v>91</v>
      </c>
      <c r="AH173" s="2" t="s">
        <v>91</v>
      </c>
      <c r="AI173" s="2" t="s">
        <v>91</v>
      </c>
    </row>
    <row r="174" ht="16.5" hidden="1" spans="1:35">
      <c r="A174" s="2" t="s">
        <v>97</v>
      </c>
      <c r="B174" s="2" t="s">
        <v>34</v>
      </c>
      <c r="C174" s="4">
        <v>32</v>
      </c>
      <c r="D174" s="2" t="s">
        <v>74</v>
      </c>
      <c r="E174" s="6">
        <v>1</v>
      </c>
      <c r="F174" s="6">
        <v>0.25</v>
      </c>
      <c r="G174" s="5">
        <v>0.2188</v>
      </c>
      <c r="H174" s="5">
        <v>0.3125</v>
      </c>
      <c r="I174" s="5">
        <v>0.125</v>
      </c>
      <c r="J174" s="5">
        <v>0.1563</v>
      </c>
      <c r="K174" s="5">
        <v>0.1563</v>
      </c>
      <c r="L174" s="5">
        <v>0.1563</v>
      </c>
      <c r="M174" s="5">
        <v>0.1563</v>
      </c>
      <c r="N174" s="5">
        <v>0.0938</v>
      </c>
      <c r="O174" s="5">
        <v>0.0625</v>
      </c>
      <c r="P174" s="5">
        <v>0.0938</v>
      </c>
      <c r="Q174" s="5">
        <v>0.0625</v>
      </c>
      <c r="R174" s="5">
        <v>0.0625</v>
      </c>
      <c r="S174" s="5">
        <v>0.0313</v>
      </c>
      <c r="T174" s="5">
        <v>0.0313</v>
      </c>
      <c r="U174" s="2" t="s">
        <v>91</v>
      </c>
      <c r="V174" s="2" t="s">
        <v>91</v>
      </c>
      <c r="W174" s="2" t="s">
        <v>91</v>
      </c>
      <c r="X174" s="2" t="s">
        <v>91</v>
      </c>
      <c r="Y174" s="2" t="s">
        <v>91</v>
      </c>
      <c r="Z174" s="2" t="s">
        <v>91</v>
      </c>
      <c r="AA174" s="2" t="s">
        <v>91</v>
      </c>
      <c r="AB174" s="2" t="s">
        <v>91</v>
      </c>
      <c r="AC174" s="2" t="s">
        <v>91</v>
      </c>
      <c r="AD174" s="2" t="s">
        <v>91</v>
      </c>
      <c r="AE174" s="2" t="s">
        <v>91</v>
      </c>
      <c r="AF174" s="2" t="s">
        <v>91</v>
      </c>
      <c r="AG174" s="2" t="s">
        <v>91</v>
      </c>
      <c r="AH174" s="2" t="s">
        <v>91</v>
      </c>
      <c r="AI174" s="2" t="s">
        <v>91</v>
      </c>
    </row>
    <row r="175" ht="16.5" hidden="1" spans="1:35">
      <c r="A175" s="2" t="s">
        <v>17</v>
      </c>
      <c r="B175" s="2" t="s">
        <v>34</v>
      </c>
      <c r="C175" s="4">
        <v>9</v>
      </c>
      <c r="D175" s="2" t="s">
        <v>74</v>
      </c>
      <c r="E175" s="6">
        <v>1</v>
      </c>
      <c r="F175" s="5">
        <v>0.2222</v>
      </c>
      <c r="G175" s="5">
        <v>0.3333</v>
      </c>
      <c r="H175" s="5">
        <v>0.2222</v>
      </c>
      <c r="I175" s="5">
        <v>0.2222</v>
      </c>
      <c r="J175" s="5">
        <v>0.2222</v>
      </c>
      <c r="K175" s="5">
        <v>0.1111</v>
      </c>
      <c r="L175" s="5">
        <v>0.1111</v>
      </c>
      <c r="M175" s="5">
        <v>0.1111</v>
      </c>
      <c r="N175" s="5">
        <v>0.1111</v>
      </c>
      <c r="O175" s="5">
        <v>0.1111</v>
      </c>
      <c r="P175" s="5">
        <v>0.1111</v>
      </c>
      <c r="Q175" s="5">
        <v>0.1111</v>
      </c>
      <c r="R175" s="5">
        <v>0.1111</v>
      </c>
      <c r="S175" s="5">
        <v>0.1111</v>
      </c>
      <c r="T175" s="2" t="s">
        <v>91</v>
      </c>
      <c r="U175" s="2" t="s">
        <v>91</v>
      </c>
      <c r="V175" s="2" t="s">
        <v>91</v>
      </c>
      <c r="W175" s="2" t="s">
        <v>91</v>
      </c>
      <c r="X175" s="2" t="s">
        <v>91</v>
      </c>
      <c r="Y175" s="2" t="s">
        <v>91</v>
      </c>
      <c r="Z175" s="2" t="s">
        <v>91</v>
      </c>
      <c r="AA175" s="2" t="s">
        <v>91</v>
      </c>
      <c r="AB175" s="2" t="s">
        <v>91</v>
      </c>
      <c r="AC175" s="2" t="s">
        <v>91</v>
      </c>
      <c r="AD175" s="2" t="s">
        <v>91</v>
      </c>
      <c r="AE175" s="2" t="s">
        <v>91</v>
      </c>
      <c r="AF175" s="2" t="s">
        <v>91</v>
      </c>
      <c r="AG175" s="2" t="s">
        <v>91</v>
      </c>
      <c r="AH175" s="2" t="s">
        <v>91</v>
      </c>
      <c r="AI175" s="2" t="s">
        <v>91</v>
      </c>
    </row>
    <row r="176" ht="16.5" hidden="1" spans="1:35">
      <c r="A176" s="2" t="s">
        <v>21</v>
      </c>
      <c r="B176" s="2" t="s">
        <v>34</v>
      </c>
      <c r="C176" s="4">
        <v>1</v>
      </c>
      <c r="D176" s="2" t="s">
        <v>74</v>
      </c>
      <c r="E176" s="6">
        <v>1</v>
      </c>
      <c r="F176" s="6">
        <v>1</v>
      </c>
      <c r="G176" s="6">
        <v>1</v>
      </c>
      <c r="H176" s="6">
        <v>1</v>
      </c>
      <c r="I176" s="6">
        <v>1</v>
      </c>
      <c r="J176" s="6">
        <v>1</v>
      </c>
      <c r="K176" s="6">
        <v>1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1</v>
      </c>
      <c r="R176" s="6">
        <v>1</v>
      </c>
      <c r="S176" s="2" t="s">
        <v>91</v>
      </c>
      <c r="T176" s="2" t="s">
        <v>91</v>
      </c>
      <c r="U176" s="2" t="s">
        <v>91</v>
      </c>
      <c r="V176" s="2" t="s">
        <v>91</v>
      </c>
      <c r="W176" s="2" t="s">
        <v>91</v>
      </c>
      <c r="X176" s="2" t="s">
        <v>91</v>
      </c>
      <c r="Y176" s="2" t="s">
        <v>91</v>
      </c>
      <c r="Z176" s="2" t="s">
        <v>91</v>
      </c>
      <c r="AA176" s="2" t="s">
        <v>91</v>
      </c>
      <c r="AB176" s="2" t="s">
        <v>91</v>
      </c>
      <c r="AC176" s="2" t="s">
        <v>91</v>
      </c>
      <c r="AD176" s="2" t="s">
        <v>91</v>
      </c>
      <c r="AE176" s="2" t="s">
        <v>91</v>
      </c>
      <c r="AF176" s="2" t="s">
        <v>91</v>
      </c>
      <c r="AG176" s="2" t="s">
        <v>91</v>
      </c>
      <c r="AH176" s="2" t="s">
        <v>91</v>
      </c>
      <c r="AI176" s="2" t="s">
        <v>91</v>
      </c>
    </row>
    <row r="177" ht="16.5" hidden="1" spans="1:35">
      <c r="A177" s="2" t="s">
        <v>23</v>
      </c>
      <c r="B177" s="2" t="s">
        <v>34</v>
      </c>
      <c r="C177" s="4">
        <v>5</v>
      </c>
      <c r="D177" s="2" t="s">
        <v>74</v>
      </c>
      <c r="E177" s="6">
        <v>1</v>
      </c>
      <c r="F177" s="6">
        <v>0.4</v>
      </c>
      <c r="G177" s="6">
        <v>0.4</v>
      </c>
      <c r="H177" s="6">
        <v>0.2</v>
      </c>
      <c r="I177" s="6">
        <v>0.2</v>
      </c>
      <c r="J177" s="6">
        <v>0.2</v>
      </c>
      <c r="K177" s="6">
        <v>0.2</v>
      </c>
      <c r="L177" s="6">
        <v>0.2</v>
      </c>
      <c r="M177" s="6">
        <v>0.2</v>
      </c>
      <c r="N177" s="6">
        <v>0.2</v>
      </c>
      <c r="O177" s="6">
        <v>0.2</v>
      </c>
      <c r="P177" s="6">
        <v>0.2</v>
      </c>
      <c r="Q177" s="6">
        <v>0.2</v>
      </c>
      <c r="R177" s="2" t="s">
        <v>91</v>
      </c>
      <c r="S177" s="2" t="s">
        <v>91</v>
      </c>
      <c r="T177" s="2" t="s">
        <v>91</v>
      </c>
      <c r="U177" s="2" t="s">
        <v>91</v>
      </c>
      <c r="V177" s="2" t="s">
        <v>91</v>
      </c>
      <c r="W177" s="2" t="s">
        <v>91</v>
      </c>
      <c r="X177" s="2" t="s">
        <v>91</v>
      </c>
      <c r="Y177" s="2" t="s">
        <v>91</v>
      </c>
      <c r="Z177" s="2" t="s">
        <v>91</v>
      </c>
      <c r="AA177" s="2" t="s">
        <v>91</v>
      </c>
      <c r="AB177" s="2" t="s">
        <v>91</v>
      </c>
      <c r="AC177" s="2" t="s">
        <v>91</v>
      </c>
      <c r="AD177" s="2" t="s">
        <v>91</v>
      </c>
      <c r="AE177" s="2" t="s">
        <v>91</v>
      </c>
      <c r="AF177" s="2" t="s">
        <v>91</v>
      </c>
      <c r="AG177" s="2" t="s">
        <v>91</v>
      </c>
      <c r="AH177" s="2" t="s">
        <v>91</v>
      </c>
      <c r="AI177" s="2" t="s">
        <v>91</v>
      </c>
    </row>
    <row r="178" ht="16.5" hidden="1" spans="1:35">
      <c r="A178" s="2" t="s">
        <v>24</v>
      </c>
      <c r="B178" s="2" t="s">
        <v>34</v>
      </c>
      <c r="C178" s="4">
        <v>5</v>
      </c>
      <c r="D178" s="2" t="s">
        <v>74</v>
      </c>
      <c r="E178" s="6">
        <v>1</v>
      </c>
      <c r="F178" s="6">
        <v>0.4</v>
      </c>
      <c r="G178" s="6">
        <v>0.4</v>
      </c>
      <c r="H178" s="6">
        <v>0.4</v>
      </c>
      <c r="I178" s="6">
        <v>0.2</v>
      </c>
      <c r="J178" s="6">
        <v>0.2</v>
      </c>
      <c r="K178" s="6">
        <v>0.4</v>
      </c>
      <c r="L178" s="6">
        <v>0.4</v>
      </c>
      <c r="M178" s="6">
        <v>0.2</v>
      </c>
      <c r="N178" s="6">
        <v>0.4</v>
      </c>
      <c r="O178" s="6">
        <v>0.2</v>
      </c>
      <c r="P178" s="6">
        <v>0.4</v>
      </c>
      <c r="Q178" s="2" t="s">
        <v>91</v>
      </c>
      <c r="R178" s="2" t="s">
        <v>91</v>
      </c>
      <c r="S178" s="2" t="s">
        <v>91</v>
      </c>
      <c r="T178" s="2" t="s">
        <v>91</v>
      </c>
      <c r="U178" s="2" t="s">
        <v>91</v>
      </c>
      <c r="V178" s="2" t="s">
        <v>91</v>
      </c>
      <c r="W178" s="2" t="s">
        <v>91</v>
      </c>
      <c r="X178" s="2" t="s">
        <v>91</v>
      </c>
      <c r="Y178" s="2" t="s">
        <v>91</v>
      </c>
      <c r="Z178" s="2" t="s">
        <v>91</v>
      </c>
      <c r="AA178" s="2" t="s">
        <v>91</v>
      </c>
      <c r="AB178" s="2" t="s">
        <v>91</v>
      </c>
      <c r="AC178" s="2" t="s">
        <v>91</v>
      </c>
      <c r="AD178" s="2" t="s">
        <v>91</v>
      </c>
      <c r="AE178" s="2" t="s">
        <v>91</v>
      </c>
      <c r="AF178" s="2" t="s">
        <v>91</v>
      </c>
      <c r="AG178" s="2" t="s">
        <v>91</v>
      </c>
      <c r="AH178" s="2" t="s">
        <v>91</v>
      </c>
      <c r="AI178" s="2" t="s">
        <v>91</v>
      </c>
    </row>
    <row r="179" ht="16.5" hidden="1" spans="1:35">
      <c r="A179" s="2" t="s">
        <v>26</v>
      </c>
      <c r="B179" s="2" t="s">
        <v>34</v>
      </c>
      <c r="C179" s="4">
        <v>3</v>
      </c>
      <c r="D179" s="2" t="s">
        <v>74</v>
      </c>
      <c r="E179" s="6">
        <v>1</v>
      </c>
      <c r="F179" s="6">
        <v>1</v>
      </c>
      <c r="G179" s="5">
        <v>0.3333</v>
      </c>
      <c r="H179" s="5">
        <v>0.3333</v>
      </c>
      <c r="I179" s="5">
        <v>0.3333</v>
      </c>
      <c r="J179" s="5">
        <v>0.3333</v>
      </c>
      <c r="K179" s="5">
        <v>0.3333</v>
      </c>
      <c r="L179" s="5">
        <v>0.6667</v>
      </c>
      <c r="M179" s="5">
        <v>0.3333</v>
      </c>
      <c r="N179" s="5">
        <v>0.3333</v>
      </c>
      <c r="O179" s="5">
        <v>0.3333</v>
      </c>
      <c r="P179" s="2" t="s">
        <v>91</v>
      </c>
      <c r="Q179" s="2" t="s">
        <v>91</v>
      </c>
      <c r="R179" s="2" t="s">
        <v>91</v>
      </c>
      <c r="S179" s="2" t="s">
        <v>91</v>
      </c>
      <c r="T179" s="2" t="s">
        <v>91</v>
      </c>
      <c r="U179" s="2" t="s">
        <v>91</v>
      </c>
      <c r="V179" s="2" t="s">
        <v>91</v>
      </c>
      <c r="W179" s="2" t="s">
        <v>91</v>
      </c>
      <c r="X179" s="2" t="s">
        <v>91</v>
      </c>
      <c r="Y179" s="2" t="s">
        <v>91</v>
      </c>
      <c r="Z179" s="2" t="s">
        <v>91</v>
      </c>
      <c r="AA179" s="2" t="s">
        <v>91</v>
      </c>
      <c r="AB179" s="2" t="s">
        <v>91</v>
      </c>
      <c r="AC179" s="2" t="s">
        <v>91</v>
      </c>
      <c r="AD179" s="2" t="s">
        <v>91</v>
      </c>
      <c r="AE179" s="2" t="s">
        <v>91</v>
      </c>
      <c r="AF179" s="2" t="s">
        <v>91</v>
      </c>
      <c r="AG179" s="2" t="s">
        <v>91</v>
      </c>
      <c r="AH179" s="2" t="s">
        <v>91</v>
      </c>
      <c r="AI179" s="2" t="s">
        <v>91</v>
      </c>
    </row>
    <row r="180" ht="16.5" hidden="1" spans="1:35">
      <c r="A180" s="2" t="s">
        <v>28</v>
      </c>
      <c r="B180" s="2" t="s">
        <v>34</v>
      </c>
      <c r="C180" s="4">
        <v>2</v>
      </c>
      <c r="D180" s="2" t="s">
        <v>74</v>
      </c>
      <c r="E180" s="6">
        <v>1</v>
      </c>
      <c r="F180" s="6">
        <v>0.5</v>
      </c>
      <c r="G180" s="6">
        <v>0.5</v>
      </c>
      <c r="H180" s="6">
        <v>0.5</v>
      </c>
      <c r="I180" s="6">
        <v>0.5</v>
      </c>
      <c r="J180" s="6">
        <v>0.5</v>
      </c>
      <c r="K180" s="6">
        <v>0.5</v>
      </c>
      <c r="L180" s="6">
        <v>0.5</v>
      </c>
      <c r="M180" s="6">
        <v>0.5</v>
      </c>
      <c r="N180" s="6">
        <v>0.5</v>
      </c>
      <c r="O180" s="2" t="s">
        <v>91</v>
      </c>
      <c r="P180" s="2" t="s">
        <v>91</v>
      </c>
      <c r="Q180" s="2" t="s">
        <v>91</v>
      </c>
      <c r="R180" s="2" t="s">
        <v>91</v>
      </c>
      <c r="S180" s="2" t="s">
        <v>91</v>
      </c>
      <c r="T180" s="2" t="s">
        <v>91</v>
      </c>
      <c r="U180" s="2" t="s">
        <v>91</v>
      </c>
      <c r="V180" s="2" t="s">
        <v>91</v>
      </c>
      <c r="W180" s="2" t="s">
        <v>91</v>
      </c>
      <c r="X180" s="2" t="s">
        <v>91</v>
      </c>
      <c r="Y180" s="2" t="s">
        <v>91</v>
      </c>
      <c r="Z180" s="2" t="s">
        <v>91</v>
      </c>
      <c r="AA180" s="2" t="s">
        <v>91</v>
      </c>
      <c r="AB180" s="2" t="s">
        <v>91</v>
      </c>
      <c r="AC180" s="2" t="s">
        <v>91</v>
      </c>
      <c r="AD180" s="2" t="s">
        <v>91</v>
      </c>
      <c r="AE180" s="2" t="s">
        <v>91</v>
      </c>
      <c r="AF180" s="2" t="s">
        <v>91</v>
      </c>
      <c r="AG180" s="2" t="s">
        <v>91</v>
      </c>
      <c r="AH180" s="2" t="s">
        <v>91</v>
      </c>
      <c r="AI180" s="2" t="s">
        <v>91</v>
      </c>
    </row>
    <row r="181" ht="16.5" hidden="1" spans="1:35">
      <c r="A181" s="2" t="s">
        <v>30</v>
      </c>
      <c r="B181" s="2" t="s">
        <v>34</v>
      </c>
      <c r="C181" s="4">
        <v>3</v>
      </c>
      <c r="D181" s="2" t="s">
        <v>74</v>
      </c>
      <c r="E181" s="6">
        <v>1</v>
      </c>
      <c r="F181" s="5">
        <v>0.6667</v>
      </c>
      <c r="G181" s="5">
        <v>0.6667</v>
      </c>
      <c r="H181" s="5">
        <v>0.3333</v>
      </c>
      <c r="I181" s="5">
        <v>0.3333</v>
      </c>
      <c r="J181" s="5">
        <v>0.3333</v>
      </c>
      <c r="K181" s="5">
        <v>0.3333</v>
      </c>
      <c r="L181" s="5">
        <v>0.3333</v>
      </c>
      <c r="M181" s="5">
        <v>0.3333</v>
      </c>
      <c r="N181" s="2" t="s">
        <v>91</v>
      </c>
      <c r="O181" s="2" t="s">
        <v>91</v>
      </c>
      <c r="P181" s="2" t="s">
        <v>91</v>
      </c>
      <c r="Q181" s="2" t="s">
        <v>91</v>
      </c>
      <c r="R181" s="2" t="s">
        <v>91</v>
      </c>
      <c r="S181" s="2" t="s">
        <v>91</v>
      </c>
      <c r="T181" s="2" t="s">
        <v>91</v>
      </c>
      <c r="U181" s="2" t="s">
        <v>91</v>
      </c>
      <c r="V181" s="2" t="s">
        <v>91</v>
      </c>
      <c r="W181" s="2" t="s">
        <v>91</v>
      </c>
      <c r="X181" s="2" t="s">
        <v>91</v>
      </c>
      <c r="Y181" s="2" t="s">
        <v>91</v>
      </c>
      <c r="Z181" s="2" t="s">
        <v>91</v>
      </c>
      <c r="AA181" s="2" t="s">
        <v>91</v>
      </c>
      <c r="AB181" s="2" t="s">
        <v>91</v>
      </c>
      <c r="AC181" s="2" t="s">
        <v>91</v>
      </c>
      <c r="AD181" s="2" t="s">
        <v>91</v>
      </c>
      <c r="AE181" s="2" t="s">
        <v>91</v>
      </c>
      <c r="AF181" s="2" t="s">
        <v>91</v>
      </c>
      <c r="AG181" s="2" t="s">
        <v>91</v>
      </c>
      <c r="AH181" s="2" t="s">
        <v>91</v>
      </c>
      <c r="AI181" s="2" t="s">
        <v>91</v>
      </c>
    </row>
    <row r="182" ht="16.5" hidden="1" spans="1:35">
      <c r="A182" s="2" t="s">
        <v>32</v>
      </c>
      <c r="B182" s="2" t="s">
        <v>34</v>
      </c>
      <c r="C182" s="4">
        <v>2</v>
      </c>
      <c r="D182" s="2" t="s">
        <v>74</v>
      </c>
      <c r="E182" s="6">
        <v>1</v>
      </c>
      <c r="F182" s="6">
        <v>0.5</v>
      </c>
      <c r="G182" s="6">
        <v>0.5</v>
      </c>
      <c r="H182" s="6">
        <v>0.5</v>
      </c>
      <c r="I182" s="6">
        <v>0.5</v>
      </c>
      <c r="J182" s="6">
        <v>0.5</v>
      </c>
      <c r="K182" s="6">
        <v>0.5</v>
      </c>
      <c r="L182" s="6">
        <v>0.5</v>
      </c>
      <c r="M182" s="2" t="s">
        <v>91</v>
      </c>
      <c r="N182" s="2" t="s">
        <v>91</v>
      </c>
      <c r="O182" s="2" t="s">
        <v>91</v>
      </c>
      <c r="P182" s="2" t="s">
        <v>91</v>
      </c>
      <c r="Q182" s="2" t="s">
        <v>91</v>
      </c>
      <c r="R182" s="2" t="s">
        <v>91</v>
      </c>
      <c r="S182" s="2" t="s">
        <v>91</v>
      </c>
      <c r="T182" s="2" t="s">
        <v>91</v>
      </c>
      <c r="U182" s="2" t="s">
        <v>91</v>
      </c>
      <c r="V182" s="2" t="s">
        <v>91</v>
      </c>
      <c r="W182" s="2" t="s">
        <v>91</v>
      </c>
      <c r="X182" s="2" t="s">
        <v>91</v>
      </c>
      <c r="Y182" s="2" t="s">
        <v>91</v>
      </c>
      <c r="Z182" s="2" t="s">
        <v>91</v>
      </c>
      <c r="AA182" s="2" t="s">
        <v>91</v>
      </c>
      <c r="AB182" s="2" t="s">
        <v>91</v>
      </c>
      <c r="AC182" s="2" t="s">
        <v>91</v>
      </c>
      <c r="AD182" s="2" t="s">
        <v>91</v>
      </c>
      <c r="AE182" s="2" t="s">
        <v>91</v>
      </c>
      <c r="AF182" s="2" t="s">
        <v>91</v>
      </c>
      <c r="AG182" s="2" t="s">
        <v>91</v>
      </c>
      <c r="AH182" s="2" t="s">
        <v>91</v>
      </c>
      <c r="AI182" s="2" t="s">
        <v>91</v>
      </c>
    </row>
    <row r="183" ht="16.5" hidden="1" spans="1:35">
      <c r="A183" s="2" t="s">
        <v>98</v>
      </c>
      <c r="B183" s="2" t="s">
        <v>34</v>
      </c>
      <c r="C183" s="4">
        <v>3</v>
      </c>
      <c r="D183" s="2" t="s">
        <v>74</v>
      </c>
      <c r="E183" s="6">
        <v>1</v>
      </c>
      <c r="F183" s="5">
        <v>0.6667</v>
      </c>
      <c r="G183" s="5">
        <v>0.6667</v>
      </c>
      <c r="H183" s="5">
        <v>0.6667</v>
      </c>
      <c r="I183" s="5">
        <v>0.6667</v>
      </c>
      <c r="J183" s="5">
        <v>0.6667</v>
      </c>
      <c r="K183" s="5">
        <v>0.3333</v>
      </c>
      <c r="L183" s="2" t="s">
        <v>91</v>
      </c>
      <c r="M183" s="2" t="s">
        <v>91</v>
      </c>
      <c r="N183" s="2" t="s">
        <v>91</v>
      </c>
      <c r="O183" s="2" t="s">
        <v>91</v>
      </c>
      <c r="P183" s="2" t="s">
        <v>91</v>
      </c>
      <c r="Q183" s="2" t="s">
        <v>91</v>
      </c>
      <c r="R183" s="2" t="s">
        <v>91</v>
      </c>
      <c r="S183" s="2" t="s">
        <v>91</v>
      </c>
      <c r="T183" s="2" t="s">
        <v>91</v>
      </c>
      <c r="U183" s="2" t="s">
        <v>91</v>
      </c>
      <c r="V183" s="2" t="s">
        <v>91</v>
      </c>
      <c r="W183" s="2" t="s">
        <v>91</v>
      </c>
      <c r="X183" s="2" t="s">
        <v>91</v>
      </c>
      <c r="Y183" s="2" t="s">
        <v>91</v>
      </c>
      <c r="Z183" s="2" t="s">
        <v>91</v>
      </c>
      <c r="AA183" s="2" t="s">
        <v>91</v>
      </c>
      <c r="AB183" s="2" t="s">
        <v>91</v>
      </c>
      <c r="AC183" s="2" t="s">
        <v>91</v>
      </c>
      <c r="AD183" s="2" t="s">
        <v>91</v>
      </c>
      <c r="AE183" s="2" t="s">
        <v>91</v>
      </c>
      <c r="AF183" s="2" t="s">
        <v>91</v>
      </c>
      <c r="AG183" s="2" t="s">
        <v>91</v>
      </c>
      <c r="AH183" s="2" t="s">
        <v>91</v>
      </c>
      <c r="AI183" s="2" t="s">
        <v>91</v>
      </c>
    </row>
    <row r="184" ht="16.5" hidden="1" spans="1:35">
      <c r="A184" s="2" t="s">
        <v>99</v>
      </c>
      <c r="B184" s="2" t="s">
        <v>34</v>
      </c>
      <c r="C184" s="4">
        <v>1</v>
      </c>
      <c r="D184" s="2" t="s">
        <v>74</v>
      </c>
      <c r="E184" s="6">
        <v>1</v>
      </c>
      <c r="F184" s="6">
        <v>1</v>
      </c>
      <c r="G184" s="6">
        <v>1</v>
      </c>
      <c r="H184" s="6">
        <v>1</v>
      </c>
      <c r="I184" s="6">
        <v>1</v>
      </c>
      <c r="J184" s="6">
        <v>1</v>
      </c>
      <c r="K184" s="2" t="s">
        <v>91</v>
      </c>
      <c r="L184" s="2" t="s">
        <v>91</v>
      </c>
      <c r="M184" s="2" t="s">
        <v>91</v>
      </c>
      <c r="N184" s="2" t="s">
        <v>91</v>
      </c>
      <c r="O184" s="2" t="s">
        <v>91</v>
      </c>
      <c r="P184" s="2" t="s">
        <v>91</v>
      </c>
      <c r="Q184" s="2" t="s">
        <v>91</v>
      </c>
      <c r="R184" s="2" t="s">
        <v>91</v>
      </c>
      <c r="S184" s="2" t="s">
        <v>91</v>
      </c>
      <c r="T184" s="2" t="s">
        <v>91</v>
      </c>
      <c r="U184" s="2" t="s">
        <v>91</v>
      </c>
      <c r="V184" s="2" t="s">
        <v>91</v>
      </c>
      <c r="W184" s="2" t="s">
        <v>91</v>
      </c>
      <c r="X184" s="2" t="s">
        <v>91</v>
      </c>
      <c r="Y184" s="2" t="s">
        <v>91</v>
      </c>
      <c r="Z184" s="2" t="s">
        <v>91</v>
      </c>
      <c r="AA184" s="2" t="s">
        <v>91</v>
      </c>
      <c r="AB184" s="2" t="s">
        <v>91</v>
      </c>
      <c r="AC184" s="2" t="s">
        <v>91</v>
      </c>
      <c r="AD184" s="2" t="s">
        <v>91</v>
      </c>
      <c r="AE184" s="2" t="s">
        <v>91</v>
      </c>
      <c r="AF184" s="2" t="s">
        <v>91</v>
      </c>
      <c r="AG184" s="2" t="s">
        <v>91</v>
      </c>
      <c r="AH184" s="2" t="s">
        <v>91</v>
      </c>
      <c r="AI184" s="2" t="s">
        <v>91</v>
      </c>
    </row>
    <row r="185" ht="16.5" hidden="1" spans="1:35">
      <c r="A185" s="2" t="s">
        <v>100</v>
      </c>
      <c r="B185" s="2" t="s">
        <v>34</v>
      </c>
      <c r="C185" s="4">
        <v>1</v>
      </c>
      <c r="D185" s="2" t="s">
        <v>74</v>
      </c>
      <c r="E185" s="6">
        <v>1</v>
      </c>
      <c r="F185" s="6">
        <v>1</v>
      </c>
      <c r="G185" s="6">
        <v>1</v>
      </c>
      <c r="H185" s="6">
        <v>1</v>
      </c>
      <c r="I185" s="6">
        <v>1</v>
      </c>
      <c r="J185" s="2" t="s">
        <v>91</v>
      </c>
      <c r="K185" s="2" t="s">
        <v>91</v>
      </c>
      <c r="L185" s="2" t="s">
        <v>91</v>
      </c>
      <c r="M185" s="2" t="s">
        <v>91</v>
      </c>
      <c r="N185" s="2" t="s">
        <v>91</v>
      </c>
      <c r="O185" s="2" t="s">
        <v>91</v>
      </c>
      <c r="P185" s="2" t="s">
        <v>91</v>
      </c>
      <c r="Q185" s="2" t="s">
        <v>91</v>
      </c>
      <c r="R185" s="2" t="s">
        <v>91</v>
      </c>
      <c r="S185" s="2" t="s">
        <v>91</v>
      </c>
      <c r="T185" s="2" t="s">
        <v>91</v>
      </c>
      <c r="U185" s="2" t="s">
        <v>91</v>
      </c>
      <c r="V185" s="2" t="s">
        <v>91</v>
      </c>
      <c r="W185" s="2" t="s">
        <v>91</v>
      </c>
      <c r="X185" s="2" t="s">
        <v>91</v>
      </c>
      <c r="Y185" s="2" t="s">
        <v>91</v>
      </c>
      <c r="Z185" s="2" t="s">
        <v>91</v>
      </c>
      <c r="AA185" s="2" t="s">
        <v>91</v>
      </c>
      <c r="AB185" s="2" t="s">
        <v>91</v>
      </c>
      <c r="AC185" s="2" t="s">
        <v>91</v>
      </c>
      <c r="AD185" s="2" t="s">
        <v>91</v>
      </c>
      <c r="AE185" s="2" t="s">
        <v>91</v>
      </c>
      <c r="AF185" s="2" t="s">
        <v>91</v>
      </c>
      <c r="AG185" s="2" t="s">
        <v>91</v>
      </c>
      <c r="AH185" s="2" t="s">
        <v>91</v>
      </c>
      <c r="AI185" s="2" t="s">
        <v>91</v>
      </c>
    </row>
    <row r="186" ht="16.5" hidden="1" spans="1:35">
      <c r="A186" s="2" t="s">
        <v>101</v>
      </c>
      <c r="B186" s="2" t="s">
        <v>34</v>
      </c>
      <c r="C186" s="4">
        <v>1</v>
      </c>
      <c r="D186" s="2" t="s">
        <v>74</v>
      </c>
      <c r="E186" s="6">
        <v>1</v>
      </c>
      <c r="F186" s="6">
        <v>1</v>
      </c>
      <c r="G186" s="6">
        <v>1</v>
      </c>
      <c r="H186" s="6">
        <v>1</v>
      </c>
      <c r="I186" s="2" t="s">
        <v>91</v>
      </c>
      <c r="J186" s="2" t="s">
        <v>91</v>
      </c>
      <c r="K186" s="2" t="s">
        <v>91</v>
      </c>
      <c r="L186" s="2" t="s">
        <v>91</v>
      </c>
      <c r="M186" s="2" t="s">
        <v>91</v>
      </c>
      <c r="N186" s="2" t="s">
        <v>91</v>
      </c>
      <c r="O186" s="2" t="s">
        <v>91</v>
      </c>
      <c r="P186" s="2" t="s">
        <v>91</v>
      </c>
      <c r="Q186" s="2" t="s">
        <v>91</v>
      </c>
      <c r="R186" s="2" t="s">
        <v>91</v>
      </c>
      <c r="S186" s="2" t="s">
        <v>91</v>
      </c>
      <c r="T186" s="2" t="s">
        <v>91</v>
      </c>
      <c r="U186" s="2" t="s">
        <v>91</v>
      </c>
      <c r="V186" s="2" t="s">
        <v>91</v>
      </c>
      <c r="W186" s="2" t="s">
        <v>91</v>
      </c>
      <c r="X186" s="2" t="s">
        <v>91</v>
      </c>
      <c r="Y186" s="2" t="s">
        <v>91</v>
      </c>
      <c r="Z186" s="2" t="s">
        <v>91</v>
      </c>
      <c r="AA186" s="2" t="s">
        <v>91</v>
      </c>
      <c r="AB186" s="2" t="s">
        <v>91</v>
      </c>
      <c r="AC186" s="2" t="s">
        <v>91</v>
      </c>
      <c r="AD186" s="2" t="s">
        <v>91</v>
      </c>
      <c r="AE186" s="2" t="s">
        <v>91</v>
      </c>
      <c r="AF186" s="2" t="s">
        <v>91</v>
      </c>
      <c r="AG186" s="2" t="s">
        <v>91</v>
      </c>
      <c r="AH186" s="2" t="s">
        <v>91</v>
      </c>
      <c r="AI186" s="2" t="s">
        <v>91</v>
      </c>
    </row>
    <row r="187" ht="16.5" hidden="1" spans="1:35">
      <c r="A187" s="2" t="s">
        <v>102</v>
      </c>
      <c r="B187" s="2" t="s">
        <v>34</v>
      </c>
      <c r="C187" s="4">
        <v>4</v>
      </c>
      <c r="D187" s="2" t="s">
        <v>74</v>
      </c>
      <c r="E187" s="6">
        <v>1</v>
      </c>
      <c r="F187" s="6">
        <v>0.5</v>
      </c>
      <c r="G187" s="6">
        <v>0.5</v>
      </c>
      <c r="H187" s="2" t="s">
        <v>91</v>
      </c>
      <c r="I187" s="2" t="s">
        <v>91</v>
      </c>
      <c r="J187" s="2" t="s">
        <v>91</v>
      </c>
      <c r="K187" s="2" t="s">
        <v>91</v>
      </c>
      <c r="L187" s="2" t="s">
        <v>91</v>
      </c>
      <c r="M187" s="2" t="s">
        <v>91</v>
      </c>
      <c r="N187" s="2" t="s">
        <v>91</v>
      </c>
      <c r="O187" s="2" t="s">
        <v>91</v>
      </c>
      <c r="P187" s="2" t="s">
        <v>91</v>
      </c>
      <c r="Q187" s="2" t="s">
        <v>91</v>
      </c>
      <c r="R187" s="2" t="s">
        <v>91</v>
      </c>
      <c r="S187" s="2" t="s">
        <v>91</v>
      </c>
      <c r="T187" s="2" t="s">
        <v>91</v>
      </c>
      <c r="U187" s="2" t="s">
        <v>91</v>
      </c>
      <c r="V187" s="2" t="s">
        <v>91</v>
      </c>
      <c r="W187" s="2" t="s">
        <v>91</v>
      </c>
      <c r="X187" s="2" t="s">
        <v>91</v>
      </c>
      <c r="Y187" s="2" t="s">
        <v>91</v>
      </c>
      <c r="Z187" s="2" t="s">
        <v>91</v>
      </c>
      <c r="AA187" s="2" t="s">
        <v>91</v>
      </c>
      <c r="AB187" s="2" t="s">
        <v>91</v>
      </c>
      <c r="AC187" s="2" t="s">
        <v>91</v>
      </c>
      <c r="AD187" s="2" t="s">
        <v>91</v>
      </c>
      <c r="AE187" s="2" t="s">
        <v>91</v>
      </c>
      <c r="AF187" s="2" t="s">
        <v>91</v>
      </c>
      <c r="AG187" s="2" t="s">
        <v>91</v>
      </c>
      <c r="AH187" s="2" t="s">
        <v>91</v>
      </c>
      <c r="AI187" s="2" t="s">
        <v>91</v>
      </c>
    </row>
    <row r="188" ht="16.5" hidden="1" spans="1:35">
      <c r="A188" s="2" t="s">
        <v>103</v>
      </c>
      <c r="B188" s="2" t="s">
        <v>34</v>
      </c>
      <c r="C188" s="4">
        <v>1</v>
      </c>
      <c r="D188" s="2" t="s">
        <v>74</v>
      </c>
      <c r="E188" s="6">
        <v>1</v>
      </c>
      <c r="F188" s="6">
        <v>1</v>
      </c>
      <c r="G188" s="2" t="s">
        <v>91</v>
      </c>
      <c r="H188" s="2" t="s">
        <v>91</v>
      </c>
      <c r="I188" s="2" t="s">
        <v>91</v>
      </c>
      <c r="J188" s="2" t="s">
        <v>91</v>
      </c>
      <c r="K188" s="2" t="s">
        <v>91</v>
      </c>
      <c r="L188" s="2" t="s">
        <v>91</v>
      </c>
      <c r="M188" s="2" t="s">
        <v>91</v>
      </c>
      <c r="N188" s="2" t="s">
        <v>91</v>
      </c>
      <c r="O188" s="2" t="s">
        <v>91</v>
      </c>
      <c r="P188" s="2" t="s">
        <v>91</v>
      </c>
      <c r="Q188" s="2" t="s">
        <v>91</v>
      </c>
      <c r="R188" s="2" t="s">
        <v>91</v>
      </c>
      <c r="S188" s="2" t="s">
        <v>91</v>
      </c>
      <c r="T188" s="2" t="s">
        <v>91</v>
      </c>
      <c r="U188" s="2" t="s">
        <v>91</v>
      </c>
      <c r="V188" s="2" t="s">
        <v>91</v>
      </c>
      <c r="W188" s="2" t="s">
        <v>91</v>
      </c>
      <c r="X188" s="2" t="s">
        <v>91</v>
      </c>
      <c r="Y188" s="2" t="s">
        <v>91</v>
      </c>
      <c r="Z188" s="2" t="s">
        <v>91</v>
      </c>
      <c r="AA188" s="2" t="s">
        <v>91</v>
      </c>
      <c r="AB188" s="2" t="s">
        <v>91</v>
      </c>
      <c r="AC188" s="2" t="s">
        <v>91</v>
      </c>
      <c r="AD188" s="2" t="s">
        <v>91</v>
      </c>
      <c r="AE188" s="2" t="s">
        <v>91</v>
      </c>
      <c r="AF188" s="2" t="s">
        <v>91</v>
      </c>
      <c r="AG188" s="2" t="s">
        <v>91</v>
      </c>
      <c r="AH188" s="2" t="s">
        <v>91</v>
      </c>
      <c r="AI188" s="2" t="s">
        <v>91</v>
      </c>
    </row>
    <row r="189" ht="16.5" hidden="1" spans="1:35">
      <c r="A189" s="2" t="s">
        <v>104</v>
      </c>
      <c r="B189" s="2" t="s">
        <v>34</v>
      </c>
      <c r="C189" s="4">
        <v>1</v>
      </c>
      <c r="D189" s="2" t="s">
        <v>74</v>
      </c>
      <c r="E189" s="6">
        <v>1</v>
      </c>
      <c r="F189" s="2" t="s">
        <v>91</v>
      </c>
      <c r="G189" s="2" t="s">
        <v>91</v>
      </c>
      <c r="H189" s="2" t="s">
        <v>91</v>
      </c>
      <c r="I189" s="2" t="s">
        <v>91</v>
      </c>
      <c r="J189" s="2" t="s">
        <v>91</v>
      </c>
      <c r="K189" s="2" t="s">
        <v>91</v>
      </c>
      <c r="L189" s="2" t="s">
        <v>91</v>
      </c>
      <c r="M189" s="2" t="s">
        <v>91</v>
      </c>
      <c r="N189" s="2" t="s">
        <v>91</v>
      </c>
      <c r="O189" s="2" t="s">
        <v>91</v>
      </c>
      <c r="P189" s="2" t="s">
        <v>91</v>
      </c>
      <c r="Q189" s="2" t="s">
        <v>91</v>
      </c>
      <c r="R189" s="2" t="s">
        <v>91</v>
      </c>
      <c r="S189" s="2" t="s">
        <v>91</v>
      </c>
      <c r="T189" s="2" t="s">
        <v>91</v>
      </c>
      <c r="U189" s="2" t="s">
        <v>91</v>
      </c>
      <c r="V189" s="2" t="s">
        <v>91</v>
      </c>
      <c r="W189" s="2" t="s">
        <v>91</v>
      </c>
      <c r="X189" s="2" t="s">
        <v>91</v>
      </c>
      <c r="Y189" s="2" t="s">
        <v>91</v>
      </c>
      <c r="Z189" s="2" t="s">
        <v>91</v>
      </c>
      <c r="AA189" s="2" t="s">
        <v>91</v>
      </c>
      <c r="AB189" s="2" t="s">
        <v>91</v>
      </c>
      <c r="AC189" s="2" t="s">
        <v>91</v>
      </c>
      <c r="AD189" s="2" t="s">
        <v>91</v>
      </c>
      <c r="AE189" s="2" t="s">
        <v>91</v>
      </c>
      <c r="AF189" s="2" t="s">
        <v>91</v>
      </c>
      <c r="AG189" s="2" t="s">
        <v>91</v>
      </c>
      <c r="AH189" s="2" t="s">
        <v>91</v>
      </c>
      <c r="AI189" s="2" t="s">
        <v>91</v>
      </c>
    </row>
    <row r="190" ht="16.5" hidden="1" spans="1:35">
      <c r="A190" s="2" t="s">
        <v>72</v>
      </c>
      <c r="B190" s="2" t="s">
        <v>106</v>
      </c>
      <c r="C190" s="4">
        <v>2790</v>
      </c>
      <c r="D190" s="2" t="s">
        <v>19</v>
      </c>
      <c r="E190" s="4">
        <v>2790</v>
      </c>
      <c r="F190" s="4">
        <v>1076</v>
      </c>
      <c r="G190" s="4">
        <v>733</v>
      </c>
      <c r="H190" s="4">
        <v>547</v>
      </c>
      <c r="I190" s="4">
        <v>434</v>
      </c>
      <c r="J190" s="4">
        <v>352</v>
      </c>
      <c r="K190" s="4">
        <v>302</v>
      </c>
      <c r="L190" s="4">
        <v>283</v>
      </c>
      <c r="M190" s="4">
        <v>237</v>
      </c>
      <c r="N190" s="4">
        <v>183</v>
      </c>
      <c r="O190" s="4">
        <v>155</v>
      </c>
      <c r="P190" s="4">
        <v>154</v>
      </c>
      <c r="Q190" s="4">
        <v>144</v>
      </c>
      <c r="R190" s="4">
        <v>133</v>
      </c>
      <c r="S190" s="4">
        <v>126</v>
      </c>
      <c r="T190" s="4">
        <v>105</v>
      </c>
      <c r="U190" s="4">
        <v>85</v>
      </c>
      <c r="V190" s="4">
        <v>89</v>
      </c>
      <c r="W190" s="4">
        <v>79</v>
      </c>
      <c r="X190" s="4">
        <v>71</v>
      </c>
      <c r="Y190" s="4">
        <v>67</v>
      </c>
      <c r="Z190" s="4">
        <v>79</v>
      </c>
      <c r="AA190" s="4">
        <v>60</v>
      </c>
      <c r="AB190" s="4">
        <v>58</v>
      </c>
      <c r="AC190" s="4">
        <v>52</v>
      </c>
      <c r="AD190" s="4">
        <v>64</v>
      </c>
      <c r="AE190" s="4">
        <v>41</v>
      </c>
      <c r="AF190" s="4">
        <v>39</v>
      </c>
      <c r="AG190" s="4">
        <v>26</v>
      </c>
      <c r="AH190" s="4">
        <v>24</v>
      </c>
      <c r="AI190" s="4">
        <v>16</v>
      </c>
    </row>
    <row r="191" ht="16.5" hidden="1" spans="1:35">
      <c r="A191" s="2" t="s">
        <v>72</v>
      </c>
      <c r="B191" s="2" t="s">
        <v>106</v>
      </c>
      <c r="C191" s="4">
        <v>2790</v>
      </c>
      <c r="D191" s="2" t="s">
        <v>74</v>
      </c>
      <c r="E191" s="6">
        <v>1</v>
      </c>
      <c r="F191" s="5">
        <v>0.3857</v>
      </c>
      <c r="G191" s="5">
        <v>0.2629</v>
      </c>
      <c r="H191" s="5">
        <v>0.1963</v>
      </c>
      <c r="I191" s="5">
        <v>0.1557</v>
      </c>
      <c r="J191" s="5">
        <v>0.1263</v>
      </c>
      <c r="K191" s="5">
        <v>0.1084</v>
      </c>
      <c r="L191" s="5">
        <v>0.1017</v>
      </c>
      <c r="M191" s="5">
        <v>0.0852</v>
      </c>
      <c r="N191" s="5">
        <v>0.0658</v>
      </c>
      <c r="O191" s="5">
        <v>0.0557</v>
      </c>
      <c r="P191" s="5">
        <v>0.0554</v>
      </c>
      <c r="Q191" s="5">
        <v>0.0518</v>
      </c>
      <c r="R191" s="5">
        <v>0.0478</v>
      </c>
      <c r="S191" s="5">
        <v>0.0453</v>
      </c>
      <c r="T191" s="5">
        <v>0.0378</v>
      </c>
      <c r="U191" s="5">
        <v>0.0306</v>
      </c>
      <c r="V191" s="5">
        <v>0.0321</v>
      </c>
      <c r="W191" s="5">
        <v>0.0285</v>
      </c>
      <c r="X191" s="5">
        <v>0.0256</v>
      </c>
      <c r="Y191" s="5">
        <v>0.0242</v>
      </c>
      <c r="Z191" s="5">
        <v>0.0285</v>
      </c>
      <c r="AA191" s="5">
        <v>0.0217</v>
      </c>
      <c r="AB191" s="5">
        <v>0.021</v>
      </c>
      <c r="AC191" s="5">
        <v>0.0189</v>
      </c>
      <c r="AD191" s="5">
        <v>0.0234</v>
      </c>
      <c r="AE191" s="5">
        <v>0.0161</v>
      </c>
      <c r="AF191" s="5">
        <v>0.0173</v>
      </c>
      <c r="AG191" s="5">
        <v>0.0139</v>
      </c>
      <c r="AH191" s="5">
        <v>0.0165</v>
      </c>
      <c r="AI191" s="5">
        <v>0.0176</v>
      </c>
    </row>
    <row r="192" ht="16.5" hidden="1" spans="1:35">
      <c r="A192" s="2" t="s">
        <v>79</v>
      </c>
      <c r="B192" s="2" t="s">
        <v>106</v>
      </c>
      <c r="C192" s="4">
        <v>1</v>
      </c>
      <c r="D192" s="2" t="s">
        <v>19</v>
      </c>
      <c r="E192" s="4">
        <v>1</v>
      </c>
      <c r="F192" s="4">
        <v>0</v>
      </c>
      <c r="G192" s="4">
        <v>0</v>
      </c>
      <c r="H192" s="4">
        <v>1</v>
      </c>
      <c r="I192" s="4">
        <v>1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0</v>
      </c>
      <c r="AB192" s="4">
        <v>0</v>
      </c>
      <c r="AC192" s="4">
        <v>0</v>
      </c>
      <c r="AD192" s="4">
        <v>1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</row>
    <row r="193" ht="16.5" hidden="1" spans="1:35">
      <c r="A193" s="2" t="s">
        <v>79</v>
      </c>
      <c r="B193" s="2" t="s">
        <v>106</v>
      </c>
      <c r="C193" s="4">
        <v>1</v>
      </c>
      <c r="D193" s="2" t="s">
        <v>74</v>
      </c>
      <c r="E193" s="6">
        <v>1</v>
      </c>
      <c r="F193" s="6">
        <v>0</v>
      </c>
      <c r="G193" s="6">
        <v>0</v>
      </c>
      <c r="H193" s="6">
        <v>1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1</v>
      </c>
      <c r="Z193" s="6">
        <v>0</v>
      </c>
      <c r="AA193" s="6">
        <v>0</v>
      </c>
      <c r="AB193" s="6">
        <v>0</v>
      </c>
      <c r="AC193" s="6">
        <v>0</v>
      </c>
      <c r="AD193" s="6">
        <v>1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</row>
    <row r="194" ht="16.5" hidden="1" spans="1:35">
      <c r="A194" s="2" t="s">
        <v>83</v>
      </c>
      <c r="B194" s="2" t="s">
        <v>106</v>
      </c>
      <c r="C194" s="4">
        <v>1</v>
      </c>
      <c r="D194" s="2" t="s">
        <v>19</v>
      </c>
      <c r="E194" s="4">
        <v>1</v>
      </c>
      <c r="F194" s="4">
        <v>1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1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1</v>
      </c>
      <c r="AI194" s="4">
        <v>1</v>
      </c>
    </row>
    <row r="195" ht="16.5" hidden="1" spans="1:35">
      <c r="A195" s="2" t="s">
        <v>83</v>
      </c>
      <c r="B195" s="2" t="s">
        <v>106</v>
      </c>
      <c r="C195" s="4">
        <v>1</v>
      </c>
      <c r="D195" s="2" t="s">
        <v>74</v>
      </c>
      <c r="E195" s="6">
        <v>1</v>
      </c>
      <c r="F195" s="6">
        <v>1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1</v>
      </c>
      <c r="V195" s="6">
        <v>0</v>
      </c>
      <c r="W195" s="6">
        <v>0</v>
      </c>
      <c r="X195" s="6">
        <v>0</v>
      </c>
      <c r="Y195" s="6">
        <v>0</v>
      </c>
      <c r="Z195" s="6">
        <v>1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1</v>
      </c>
      <c r="AI195" s="6">
        <v>1</v>
      </c>
    </row>
    <row r="196" ht="16.5" hidden="1" spans="1:35">
      <c r="A196" s="2" t="s">
        <v>84</v>
      </c>
      <c r="B196" s="2" t="s">
        <v>106</v>
      </c>
      <c r="C196" s="4">
        <v>4</v>
      </c>
      <c r="D196" s="2" t="s">
        <v>19</v>
      </c>
      <c r="E196" s="4">
        <v>4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2</v>
      </c>
      <c r="M196" s="4">
        <v>1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2</v>
      </c>
      <c r="U196" s="4">
        <v>0</v>
      </c>
      <c r="V196" s="4">
        <v>0</v>
      </c>
      <c r="W196" s="4">
        <v>0</v>
      </c>
      <c r="X196" s="4">
        <v>0</v>
      </c>
      <c r="Y196" s="4">
        <v>1</v>
      </c>
      <c r="Z196" s="4">
        <v>1</v>
      </c>
      <c r="AA196" s="4">
        <v>1</v>
      </c>
      <c r="AB196" s="4">
        <v>1</v>
      </c>
      <c r="AC196" s="4">
        <v>0</v>
      </c>
      <c r="AD196" s="4">
        <v>0</v>
      </c>
      <c r="AE196" s="4">
        <v>1</v>
      </c>
      <c r="AF196" s="4">
        <v>1</v>
      </c>
      <c r="AG196" s="4">
        <v>2</v>
      </c>
      <c r="AH196" s="4">
        <v>1</v>
      </c>
      <c r="AI196" s="4">
        <v>1</v>
      </c>
    </row>
    <row r="197" ht="16.5" hidden="1" spans="1:35">
      <c r="A197" s="2" t="s">
        <v>84</v>
      </c>
      <c r="B197" s="2" t="s">
        <v>106</v>
      </c>
      <c r="C197" s="4">
        <v>4</v>
      </c>
      <c r="D197" s="2" t="s">
        <v>74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0.5</v>
      </c>
      <c r="M197" s="6">
        <v>0.25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0.5</v>
      </c>
      <c r="U197" s="6">
        <v>0</v>
      </c>
      <c r="V197" s="6">
        <v>0</v>
      </c>
      <c r="W197" s="6">
        <v>0</v>
      </c>
      <c r="X197" s="6">
        <v>0</v>
      </c>
      <c r="Y197" s="6">
        <v>0.25</v>
      </c>
      <c r="Z197" s="6">
        <v>0.25</v>
      </c>
      <c r="AA197" s="6">
        <v>0.25</v>
      </c>
      <c r="AB197" s="6">
        <v>0.25</v>
      </c>
      <c r="AC197" s="6">
        <v>0</v>
      </c>
      <c r="AD197" s="6">
        <v>0</v>
      </c>
      <c r="AE197" s="6">
        <v>0.25</v>
      </c>
      <c r="AF197" s="6">
        <v>0.25</v>
      </c>
      <c r="AG197" s="6">
        <v>0.5</v>
      </c>
      <c r="AH197" s="6">
        <v>0.25</v>
      </c>
      <c r="AI197" s="6">
        <v>0.25</v>
      </c>
    </row>
    <row r="198" ht="16.5" hidden="1" spans="1:35">
      <c r="A198" s="2" t="s">
        <v>85</v>
      </c>
      <c r="B198" s="2" t="s">
        <v>106</v>
      </c>
      <c r="C198" s="4">
        <v>1</v>
      </c>
      <c r="D198" s="2" t="s">
        <v>19</v>
      </c>
      <c r="E198" s="4">
        <v>1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</row>
    <row r="199" ht="16.5" hidden="1" spans="1:35">
      <c r="A199" s="2" t="s">
        <v>85</v>
      </c>
      <c r="B199" s="2" t="s">
        <v>106</v>
      </c>
      <c r="C199" s="4">
        <v>1</v>
      </c>
      <c r="D199" s="2" t="s">
        <v>74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</row>
    <row r="200" ht="16.5" hidden="1" spans="1:35">
      <c r="A200" s="2" t="s">
        <v>86</v>
      </c>
      <c r="B200" s="2" t="s">
        <v>106</v>
      </c>
      <c r="C200" s="4">
        <v>107</v>
      </c>
      <c r="D200" s="2" t="s">
        <v>19</v>
      </c>
      <c r="E200" s="4">
        <v>107</v>
      </c>
      <c r="F200" s="4">
        <v>38</v>
      </c>
      <c r="G200" s="4">
        <v>29</v>
      </c>
      <c r="H200" s="4">
        <v>25</v>
      </c>
      <c r="I200" s="4">
        <v>22</v>
      </c>
      <c r="J200" s="4">
        <v>10</v>
      </c>
      <c r="K200" s="4">
        <v>14</v>
      </c>
      <c r="L200" s="4">
        <v>13</v>
      </c>
      <c r="M200" s="4">
        <v>7</v>
      </c>
      <c r="N200" s="4">
        <v>8</v>
      </c>
      <c r="O200" s="4">
        <v>9</v>
      </c>
      <c r="P200" s="4">
        <v>8</v>
      </c>
      <c r="Q200" s="4">
        <v>3</v>
      </c>
      <c r="R200" s="4">
        <v>5</v>
      </c>
      <c r="S200" s="4">
        <v>5</v>
      </c>
      <c r="T200" s="4">
        <v>7</v>
      </c>
      <c r="U200" s="4">
        <v>4</v>
      </c>
      <c r="V200" s="4">
        <v>6</v>
      </c>
      <c r="W200" s="4">
        <v>3</v>
      </c>
      <c r="X200" s="4">
        <v>3</v>
      </c>
      <c r="Y200" s="4">
        <v>3</v>
      </c>
      <c r="Z200" s="4">
        <v>4</v>
      </c>
      <c r="AA200" s="4">
        <v>2</v>
      </c>
      <c r="AB200" s="4">
        <v>3</v>
      </c>
      <c r="AC200" s="4">
        <v>3</v>
      </c>
      <c r="AD200" s="4">
        <v>5</v>
      </c>
      <c r="AE200" s="4">
        <v>4</v>
      </c>
      <c r="AF200" s="4">
        <v>5</v>
      </c>
      <c r="AG200" s="4">
        <v>2</v>
      </c>
      <c r="AH200" s="4">
        <v>2</v>
      </c>
      <c r="AI200" s="4">
        <v>2</v>
      </c>
    </row>
    <row r="201" ht="16.5" hidden="1" spans="1:35">
      <c r="A201" s="2" t="s">
        <v>86</v>
      </c>
      <c r="B201" s="2" t="s">
        <v>106</v>
      </c>
      <c r="C201" s="4">
        <v>107</v>
      </c>
      <c r="D201" s="2" t="s">
        <v>74</v>
      </c>
      <c r="E201" s="6">
        <v>1</v>
      </c>
      <c r="F201" s="5">
        <v>0.3551</v>
      </c>
      <c r="G201" s="5">
        <v>0.271</v>
      </c>
      <c r="H201" s="5">
        <v>0.2336</v>
      </c>
      <c r="I201" s="5">
        <v>0.2056</v>
      </c>
      <c r="J201" s="5">
        <v>0.0935</v>
      </c>
      <c r="K201" s="5">
        <v>0.1308</v>
      </c>
      <c r="L201" s="5">
        <v>0.1215</v>
      </c>
      <c r="M201" s="5">
        <v>0.0654</v>
      </c>
      <c r="N201" s="5">
        <v>0.0748</v>
      </c>
      <c r="O201" s="5">
        <v>0.0841</v>
      </c>
      <c r="P201" s="5">
        <v>0.0748</v>
      </c>
      <c r="Q201" s="5">
        <v>0.028</v>
      </c>
      <c r="R201" s="5">
        <v>0.0467</v>
      </c>
      <c r="S201" s="5">
        <v>0.0467</v>
      </c>
      <c r="T201" s="5">
        <v>0.0654</v>
      </c>
      <c r="U201" s="5">
        <v>0.0374</v>
      </c>
      <c r="V201" s="5">
        <v>0.0561</v>
      </c>
      <c r="W201" s="5">
        <v>0.028</v>
      </c>
      <c r="X201" s="5">
        <v>0.028</v>
      </c>
      <c r="Y201" s="5">
        <v>0.028</v>
      </c>
      <c r="Z201" s="5">
        <v>0.0374</v>
      </c>
      <c r="AA201" s="5">
        <v>0.0187</v>
      </c>
      <c r="AB201" s="5">
        <v>0.028</v>
      </c>
      <c r="AC201" s="5">
        <v>0.028</v>
      </c>
      <c r="AD201" s="5">
        <v>0.0467</v>
      </c>
      <c r="AE201" s="5">
        <v>0.0374</v>
      </c>
      <c r="AF201" s="5">
        <v>0.0467</v>
      </c>
      <c r="AG201" s="5">
        <v>0.0187</v>
      </c>
      <c r="AH201" s="5">
        <v>0.0187</v>
      </c>
      <c r="AI201" s="5">
        <v>0.0187</v>
      </c>
    </row>
    <row r="202" ht="16.5" hidden="1" spans="1:35">
      <c r="A202" s="2" t="s">
        <v>87</v>
      </c>
      <c r="B202" s="2" t="s">
        <v>106</v>
      </c>
      <c r="C202" s="4">
        <v>391</v>
      </c>
      <c r="D202" s="2" t="s">
        <v>19</v>
      </c>
      <c r="E202" s="4">
        <v>391</v>
      </c>
      <c r="F202" s="4">
        <v>162</v>
      </c>
      <c r="G202" s="4">
        <v>109</v>
      </c>
      <c r="H202" s="4">
        <v>83</v>
      </c>
      <c r="I202" s="4">
        <v>57</v>
      </c>
      <c r="J202" s="4">
        <v>54</v>
      </c>
      <c r="K202" s="4">
        <v>41</v>
      </c>
      <c r="L202" s="4">
        <v>37</v>
      </c>
      <c r="M202" s="4">
        <v>35</v>
      </c>
      <c r="N202" s="4">
        <v>29</v>
      </c>
      <c r="O202" s="4">
        <v>29</v>
      </c>
      <c r="P202" s="4">
        <v>18</v>
      </c>
      <c r="Q202" s="4">
        <v>23</v>
      </c>
      <c r="R202" s="4">
        <v>23</v>
      </c>
      <c r="S202" s="4">
        <v>18</v>
      </c>
      <c r="T202" s="4">
        <v>22</v>
      </c>
      <c r="U202" s="4">
        <v>18</v>
      </c>
      <c r="V202" s="4">
        <v>15</v>
      </c>
      <c r="W202" s="4">
        <v>13</v>
      </c>
      <c r="X202" s="4">
        <v>13</v>
      </c>
      <c r="Y202" s="4">
        <v>13</v>
      </c>
      <c r="Z202" s="4">
        <v>13</v>
      </c>
      <c r="AA202" s="4">
        <v>12</v>
      </c>
      <c r="AB202" s="4">
        <v>9</v>
      </c>
      <c r="AC202" s="4">
        <v>7</v>
      </c>
      <c r="AD202" s="4">
        <v>7</v>
      </c>
      <c r="AE202" s="4">
        <v>8</v>
      </c>
      <c r="AF202" s="4">
        <v>6</v>
      </c>
      <c r="AG202" s="4">
        <v>7</v>
      </c>
      <c r="AH202" s="4">
        <v>7</v>
      </c>
      <c r="AI202" s="4">
        <v>7</v>
      </c>
    </row>
    <row r="203" ht="16.5" hidden="1" spans="1:35">
      <c r="A203" s="2" t="s">
        <v>87</v>
      </c>
      <c r="B203" s="2" t="s">
        <v>106</v>
      </c>
      <c r="C203" s="4">
        <v>391</v>
      </c>
      <c r="D203" s="2" t="s">
        <v>74</v>
      </c>
      <c r="E203" s="6">
        <v>1</v>
      </c>
      <c r="F203" s="5">
        <v>0.4143</v>
      </c>
      <c r="G203" s="5">
        <v>0.2788</v>
      </c>
      <c r="H203" s="5">
        <v>0.2123</v>
      </c>
      <c r="I203" s="5">
        <v>0.1458</v>
      </c>
      <c r="J203" s="5">
        <v>0.1381</v>
      </c>
      <c r="K203" s="5">
        <v>0.1049</v>
      </c>
      <c r="L203" s="5">
        <v>0.0946</v>
      </c>
      <c r="M203" s="5">
        <v>0.0895</v>
      </c>
      <c r="N203" s="5">
        <v>0.0742</v>
      </c>
      <c r="O203" s="5">
        <v>0.0742</v>
      </c>
      <c r="P203" s="5">
        <v>0.046</v>
      </c>
      <c r="Q203" s="5">
        <v>0.0588</v>
      </c>
      <c r="R203" s="5">
        <v>0.0588</v>
      </c>
      <c r="S203" s="5">
        <v>0.046</v>
      </c>
      <c r="T203" s="5">
        <v>0.0563</v>
      </c>
      <c r="U203" s="5">
        <v>0.046</v>
      </c>
      <c r="V203" s="5">
        <v>0.0384</v>
      </c>
      <c r="W203" s="5">
        <v>0.0332</v>
      </c>
      <c r="X203" s="5">
        <v>0.0332</v>
      </c>
      <c r="Y203" s="5">
        <v>0.0332</v>
      </c>
      <c r="Z203" s="5">
        <v>0.0332</v>
      </c>
      <c r="AA203" s="5">
        <v>0.0307</v>
      </c>
      <c r="AB203" s="5">
        <v>0.023</v>
      </c>
      <c r="AC203" s="5">
        <v>0.0179</v>
      </c>
      <c r="AD203" s="5">
        <v>0.0179</v>
      </c>
      <c r="AE203" s="5">
        <v>0.0205</v>
      </c>
      <c r="AF203" s="5">
        <v>0.0153</v>
      </c>
      <c r="AG203" s="5">
        <v>0.0179</v>
      </c>
      <c r="AH203" s="5">
        <v>0.0179</v>
      </c>
      <c r="AI203" s="5">
        <v>0.0179</v>
      </c>
    </row>
    <row r="204" ht="16.5" hidden="1" spans="1:35">
      <c r="A204" s="2" t="s">
        <v>88</v>
      </c>
      <c r="B204" s="2" t="s">
        <v>106</v>
      </c>
      <c r="C204" s="4">
        <v>406</v>
      </c>
      <c r="D204" s="2" t="s">
        <v>19</v>
      </c>
      <c r="E204" s="4">
        <v>406</v>
      </c>
      <c r="F204" s="4">
        <v>162</v>
      </c>
      <c r="G204" s="4">
        <v>113</v>
      </c>
      <c r="H204" s="4">
        <v>80</v>
      </c>
      <c r="I204" s="4">
        <v>66</v>
      </c>
      <c r="J204" s="4">
        <v>50</v>
      </c>
      <c r="K204" s="4">
        <v>46</v>
      </c>
      <c r="L204" s="4">
        <v>47</v>
      </c>
      <c r="M204" s="4">
        <v>37</v>
      </c>
      <c r="N204" s="4">
        <v>30</v>
      </c>
      <c r="O204" s="4">
        <v>28</v>
      </c>
      <c r="P204" s="4">
        <v>26</v>
      </c>
      <c r="Q204" s="4">
        <v>23</v>
      </c>
      <c r="R204" s="4">
        <v>19</v>
      </c>
      <c r="S204" s="4">
        <v>16</v>
      </c>
      <c r="T204" s="4">
        <v>18</v>
      </c>
      <c r="U204" s="4">
        <v>11</v>
      </c>
      <c r="V204" s="4">
        <v>15</v>
      </c>
      <c r="W204" s="4">
        <v>11</v>
      </c>
      <c r="X204" s="4">
        <v>9</v>
      </c>
      <c r="Y204" s="4">
        <v>15</v>
      </c>
      <c r="Z204" s="4">
        <v>15</v>
      </c>
      <c r="AA204" s="4">
        <v>10</v>
      </c>
      <c r="AB204" s="4">
        <v>7</v>
      </c>
      <c r="AC204" s="4">
        <v>7</v>
      </c>
      <c r="AD204" s="4">
        <v>10</v>
      </c>
      <c r="AE204" s="4">
        <v>8</v>
      </c>
      <c r="AF204" s="4">
        <v>5</v>
      </c>
      <c r="AG204" s="4">
        <v>9</v>
      </c>
      <c r="AH204" s="4">
        <v>4</v>
      </c>
      <c r="AI204" s="4">
        <v>5</v>
      </c>
    </row>
    <row r="205" ht="16.5" hidden="1" spans="1:35">
      <c r="A205" s="2" t="s">
        <v>88</v>
      </c>
      <c r="B205" s="2" t="s">
        <v>106</v>
      </c>
      <c r="C205" s="4">
        <v>406</v>
      </c>
      <c r="D205" s="2" t="s">
        <v>74</v>
      </c>
      <c r="E205" s="6">
        <v>1</v>
      </c>
      <c r="F205" s="5">
        <v>0.399</v>
      </c>
      <c r="G205" s="5">
        <v>0.2783</v>
      </c>
      <c r="H205" s="5">
        <v>0.197</v>
      </c>
      <c r="I205" s="5">
        <v>0.1626</v>
      </c>
      <c r="J205" s="5">
        <v>0.1232</v>
      </c>
      <c r="K205" s="5">
        <v>0.1133</v>
      </c>
      <c r="L205" s="5">
        <v>0.1158</v>
      </c>
      <c r="M205" s="5">
        <v>0.0911</v>
      </c>
      <c r="N205" s="5">
        <v>0.0739</v>
      </c>
      <c r="O205" s="5">
        <v>0.069</v>
      </c>
      <c r="P205" s="5">
        <v>0.064</v>
      </c>
      <c r="Q205" s="5">
        <v>0.0567</v>
      </c>
      <c r="R205" s="5">
        <v>0.0468</v>
      </c>
      <c r="S205" s="5">
        <v>0.0394</v>
      </c>
      <c r="T205" s="5">
        <v>0.0443</v>
      </c>
      <c r="U205" s="5">
        <v>0.0271</v>
      </c>
      <c r="V205" s="5">
        <v>0.0369</v>
      </c>
      <c r="W205" s="5">
        <v>0.0271</v>
      </c>
      <c r="X205" s="5">
        <v>0.0222</v>
      </c>
      <c r="Y205" s="5">
        <v>0.0369</v>
      </c>
      <c r="Z205" s="5">
        <v>0.0369</v>
      </c>
      <c r="AA205" s="5">
        <v>0.0246</v>
      </c>
      <c r="AB205" s="5">
        <v>0.0172</v>
      </c>
      <c r="AC205" s="5">
        <v>0.0172</v>
      </c>
      <c r="AD205" s="5">
        <v>0.0246</v>
      </c>
      <c r="AE205" s="5">
        <v>0.0197</v>
      </c>
      <c r="AF205" s="5">
        <v>0.0123</v>
      </c>
      <c r="AG205" s="5">
        <v>0.0222</v>
      </c>
      <c r="AH205" s="5">
        <v>0.0099</v>
      </c>
      <c r="AI205" s="5">
        <v>0.0123</v>
      </c>
    </row>
    <row r="206" ht="16.5" hidden="1" spans="1:35">
      <c r="A206" s="2" t="s">
        <v>89</v>
      </c>
      <c r="B206" s="2" t="s">
        <v>106</v>
      </c>
      <c r="C206" s="4">
        <v>542</v>
      </c>
      <c r="D206" s="2" t="s">
        <v>19</v>
      </c>
      <c r="E206" s="4">
        <v>542</v>
      </c>
      <c r="F206" s="4">
        <v>203</v>
      </c>
      <c r="G206" s="4">
        <v>148</v>
      </c>
      <c r="H206" s="4">
        <v>112</v>
      </c>
      <c r="I206" s="4">
        <v>88</v>
      </c>
      <c r="J206" s="4">
        <v>68</v>
      </c>
      <c r="K206" s="4">
        <v>60</v>
      </c>
      <c r="L206" s="4">
        <v>68</v>
      </c>
      <c r="M206" s="4">
        <v>48</v>
      </c>
      <c r="N206" s="4">
        <v>44</v>
      </c>
      <c r="O206" s="4">
        <v>23</v>
      </c>
      <c r="P206" s="4">
        <v>31</v>
      </c>
      <c r="Q206" s="4">
        <v>34</v>
      </c>
      <c r="R206" s="4">
        <v>34</v>
      </c>
      <c r="S206" s="4">
        <v>32</v>
      </c>
      <c r="T206" s="4">
        <v>18</v>
      </c>
      <c r="U206" s="4">
        <v>18</v>
      </c>
      <c r="V206" s="4">
        <v>16</v>
      </c>
      <c r="W206" s="4">
        <v>15</v>
      </c>
      <c r="X206" s="4">
        <v>15</v>
      </c>
      <c r="Y206" s="4">
        <v>10</v>
      </c>
      <c r="Z206" s="4">
        <v>13</v>
      </c>
      <c r="AA206" s="4">
        <v>9</v>
      </c>
      <c r="AB206" s="4">
        <v>9</v>
      </c>
      <c r="AC206" s="4">
        <v>8</v>
      </c>
      <c r="AD206" s="4">
        <v>13</v>
      </c>
      <c r="AE206" s="4">
        <v>8</v>
      </c>
      <c r="AF206" s="4">
        <v>11</v>
      </c>
      <c r="AG206" s="4">
        <v>3</v>
      </c>
      <c r="AH206" s="4">
        <v>9</v>
      </c>
      <c r="AI206" s="4">
        <v>5</v>
      </c>
    </row>
    <row r="207" ht="16.5" hidden="1" spans="1:35">
      <c r="A207" s="2" t="s">
        <v>89</v>
      </c>
      <c r="B207" s="2" t="s">
        <v>106</v>
      </c>
      <c r="C207" s="4">
        <v>542</v>
      </c>
      <c r="D207" s="2" t="s">
        <v>74</v>
      </c>
      <c r="E207" s="6">
        <v>1</v>
      </c>
      <c r="F207" s="5">
        <v>0.3745</v>
      </c>
      <c r="G207" s="5">
        <v>0.2731</v>
      </c>
      <c r="H207" s="5">
        <v>0.2066</v>
      </c>
      <c r="I207" s="5">
        <v>0.1624</v>
      </c>
      <c r="J207" s="5">
        <v>0.1255</v>
      </c>
      <c r="K207" s="5">
        <v>0.1107</v>
      </c>
      <c r="L207" s="5">
        <v>0.1255</v>
      </c>
      <c r="M207" s="5">
        <v>0.0886</v>
      </c>
      <c r="N207" s="5">
        <v>0.0812</v>
      </c>
      <c r="O207" s="5">
        <v>0.0424</v>
      </c>
      <c r="P207" s="5">
        <v>0.0572</v>
      </c>
      <c r="Q207" s="5">
        <v>0.0627</v>
      </c>
      <c r="R207" s="5">
        <v>0.0627</v>
      </c>
      <c r="S207" s="5">
        <v>0.059</v>
      </c>
      <c r="T207" s="5">
        <v>0.0332</v>
      </c>
      <c r="U207" s="5">
        <v>0.0332</v>
      </c>
      <c r="V207" s="5">
        <v>0.0295</v>
      </c>
      <c r="W207" s="5">
        <v>0.0277</v>
      </c>
      <c r="X207" s="5">
        <v>0.0277</v>
      </c>
      <c r="Y207" s="5">
        <v>0.0185</v>
      </c>
      <c r="Z207" s="5">
        <v>0.024</v>
      </c>
      <c r="AA207" s="5">
        <v>0.0166</v>
      </c>
      <c r="AB207" s="5">
        <v>0.0166</v>
      </c>
      <c r="AC207" s="5">
        <v>0.0148</v>
      </c>
      <c r="AD207" s="5">
        <v>0.024</v>
      </c>
      <c r="AE207" s="5">
        <v>0.0148</v>
      </c>
      <c r="AF207" s="5">
        <v>0.0203</v>
      </c>
      <c r="AG207" s="5">
        <v>0.0055</v>
      </c>
      <c r="AH207" s="5">
        <v>0.0166</v>
      </c>
      <c r="AI207" s="5">
        <v>0.0092</v>
      </c>
    </row>
    <row r="208" ht="16.5" hidden="1" spans="1:35">
      <c r="A208" s="2" t="s">
        <v>90</v>
      </c>
      <c r="B208" s="2" t="s">
        <v>106</v>
      </c>
      <c r="C208" s="4">
        <v>421</v>
      </c>
      <c r="D208" s="2" t="s">
        <v>19</v>
      </c>
      <c r="E208" s="4">
        <v>421</v>
      </c>
      <c r="F208" s="4">
        <v>168</v>
      </c>
      <c r="G208" s="4">
        <v>109</v>
      </c>
      <c r="H208" s="4">
        <v>77</v>
      </c>
      <c r="I208" s="4">
        <v>53</v>
      </c>
      <c r="J208" s="4">
        <v>54</v>
      </c>
      <c r="K208" s="4">
        <v>47</v>
      </c>
      <c r="L208" s="4">
        <v>35</v>
      </c>
      <c r="M208" s="4">
        <v>37</v>
      </c>
      <c r="N208" s="4">
        <v>23</v>
      </c>
      <c r="O208" s="4">
        <v>15</v>
      </c>
      <c r="P208" s="4">
        <v>16</v>
      </c>
      <c r="Q208" s="4">
        <v>28</v>
      </c>
      <c r="R208" s="4">
        <v>16</v>
      </c>
      <c r="S208" s="4">
        <v>15</v>
      </c>
      <c r="T208" s="4">
        <v>9</v>
      </c>
      <c r="U208" s="4">
        <v>9</v>
      </c>
      <c r="V208" s="4">
        <v>10</v>
      </c>
      <c r="W208" s="4">
        <v>11</v>
      </c>
      <c r="X208" s="4">
        <v>7</v>
      </c>
      <c r="Y208" s="4">
        <v>6</v>
      </c>
      <c r="Z208" s="4">
        <v>8</v>
      </c>
      <c r="AA208" s="4">
        <v>7</v>
      </c>
      <c r="AB208" s="4">
        <v>7</v>
      </c>
      <c r="AC208" s="4">
        <v>6</v>
      </c>
      <c r="AD208" s="4">
        <v>6</v>
      </c>
      <c r="AE208" s="4">
        <v>3</v>
      </c>
      <c r="AF208" s="4">
        <v>6</v>
      </c>
      <c r="AG208" s="4">
        <v>3</v>
      </c>
      <c r="AH208" s="4">
        <v>5</v>
      </c>
      <c r="AI208" s="2" t="s">
        <v>91</v>
      </c>
    </row>
    <row r="209" ht="16.5" hidden="1" spans="1:35">
      <c r="A209" s="2" t="s">
        <v>90</v>
      </c>
      <c r="B209" s="2" t="s">
        <v>106</v>
      </c>
      <c r="C209" s="4">
        <v>421</v>
      </c>
      <c r="D209" s="2" t="s">
        <v>74</v>
      </c>
      <c r="E209" s="6">
        <v>1</v>
      </c>
      <c r="F209" s="5">
        <v>0.399</v>
      </c>
      <c r="G209" s="5">
        <v>0.2589</v>
      </c>
      <c r="H209" s="5">
        <v>0.1829</v>
      </c>
      <c r="I209" s="5">
        <v>0.1259</v>
      </c>
      <c r="J209" s="5">
        <v>0.1283</v>
      </c>
      <c r="K209" s="5">
        <v>0.1116</v>
      </c>
      <c r="L209" s="5">
        <v>0.0831</v>
      </c>
      <c r="M209" s="5">
        <v>0.0879</v>
      </c>
      <c r="N209" s="5">
        <v>0.0546</v>
      </c>
      <c r="O209" s="5">
        <v>0.0356</v>
      </c>
      <c r="P209" s="5">
        <v>0.038</v>
      </c>
      <c r="Q209" s="5">
        <v>0.0665</v>
      </c>
      <c r="R209" s="5">
        <v>0.038</v>
      </c>
      <c r="S209" s="5">
        <v>0.0356</v>
      </c>
      <c r="T209" s="5">
        <v>0.0214</v>
      </c>
      <c r="U209" s="5">
        <v>0.0214</v>
      </c>
      <c r="V209" s="5">
        <v>0.0238</v>
      </c>
      <c r="W209" s="5">
        <v>0.0261</v>
      </c>
      <c r="X209" s="5">
        <v>0.0166</v>
      </c>
      <c r="Y209" s="5">
        <v>0.0143</v>
      </c>
      <c r="Z209" s="5">
        <v>0.019</v>
      </c>
      <c r="AA209" s="5">
        <v>0.0166</v>
      </c>
      <c r="AB209" s="5">
        <v>0.0166</v>
      </c>
      <c r="AC209" s="5">
        <v>0.0143</v>
      </c>
      <c r="AD209" s="5">
        <v>0.0143</v>
      </c>
      <c r="AE209" s="5">
        <v>0.0071</v>
      </c>
      <c r="AF209" s="5">
        <v>0.0143</v>
      </c>
      <c r="AG209" s="5">
        <v>0.0071</v>
      </c>
      <c r="AH209" s="5">
        <v>0.0119</v>
      </c>
      <c r="AI209" s="2" t="s">
        <v>91</v>
      </c>
    </row>
    <row r="210" ht="16.5" hidden="1" spans="1:35">
      <c r="A210" s="2" t="s">
        <v>92</v>
      </c>
      <c r="B210" s="2" t="s">
        <v>106</v>
      </c>
      <c r="C210" s="4">
        <v>377</v>
      </c>
      <c r="D210" s="2" t="s">
        <v>19</v>
      </c>
      <c r="E210" s="4">
        <v>377</v>
      </c>
      <c r="F210" s="4">
        <v>145</v>
      </c>
      <c r="G210" s="4">
        <v>98</v>
      </c>
      <c r="H210" s="4">
        <v>74</v>
      </c>
      <c r="I210" s="4">
        <v>63</v>
      </c>
      <c r="J210" s="4">
        <v>50</v>
      </c>
      <c r="K210" s="4">
        <v>44</v>
      </c>
      <c r="L210" s="4">
        <v>34</v>
      </c>
      <c r="M210" s="4">
        <v>30</v>
      </c>
      <c r="N210" s="4">
        <v>23</v>
      </c>
      <c r="O210" s="4">
        <v>28</v>
      </c>
      <c r="P210" s="4">
        <v>20</v>
      </c>
      <c r="Q210" s="4">
        <v>16</v>
      </c>
      <c r="R210" s="4">
        <v>16</v>
      </c>
      <c r="S210" s="4">
        <v>13</v>
      </c>
      <c r="T210" s="4">
        <v>14</v>
      </c>
      <c r="U210" s="4">
        <v>12</v>
      </c>
      <c r="V210" s="4">
        <v>13</v>
      </c>
      <c r="W210" s="4">
        <v>9</v>
      </c>
      <c r="X210" s="4">
        <v>14</v>
      </c>
      <c r="Y210" s="4">
        <v>8</v>
      </c>
      <c r="Z210" s="4">
        <v>12</v>
      </c>
      <c r="AA210" s="4">
        <v>11</v>
      </c>
      <c r="AB210" s="4">
        <v>11</v>
      </c>
      <c r="AC210" s="4">
        <v>8</v>
      </c>
      <c r="AD210" s="4">
        <v>8</v>
      </c>
      <c r="AE210" s="4">
        <v>5</v>
      </c>
      <c r="AF210" s="4">
        <v>5</v>
      </c>
      <c r="AG210" s="4">
        <v>6</v>
      </c>
      <c r="AH210" s="2" t="s">
        <v>91</v>
      </c>
      <c r="AI210" s="2" t="s">
        <v>91</v>
      </c>
    </row>
    <row r="211" ht="16.5" hidden="1" spans="1:35">
      <c r="A211" s="2" t="s">
        <v>92</v>
      </c>
      <c r="B211" s="2" t="s">
        <v>106</v>
      </c>
      <c r="C211" s="4">
        <v>377</v>
      </c>
      <c r="D211" s="2" t="s">
        <v>74</v>
      </c>
      <c r="E211" s="6">
        <v>1</v>
      </c>
      <c r="F211" s="5">
        <v>0.3846</v>
      </c>
      <c r="G211" s="5">
        <v>0.2599</v>
      </c>
      <c r="H211" s="5">
        <v>0.1963</v>
      </c>
      <c r="I211" s="5">
        <v>0.1671</v>
      </c>
      <c r="J211" s="5">
        <v>0.1326</v>
      </c>
      <c r="K211" s="5">
        <v>0.1167</v>
      </c>
      <c r="L211" s="5">
        <v>0.0902</v>
      </c>
      <c r="M211" s="5">
        <v>0.0796</v>
      </c>
      <c r="N211" s="5">
        <v>0.061</v>
      </c>
      <c r="O211" s="5">
        <v>0.0743</v>
      </c>
      <c r="P211" s="5">
        <v>0.0531</v>
      </c>
      <c r="Q211" s="5">
        <v>0.0424</v>
      </c>
      <c r="R211" s="5">
        <v>0.0424</v>
      </c>
      <c r="S211" s="5">
        <v>0.0345</v>
      </c>
      <c r="T211" s="5">
        <v>0.0371</v>
      </c>
      <c r="U211" s="5">
        <v>0.0318</v>
      </c>
      <c r="V211" s="5">
        <v>0.0345</v>
      </c>
      <c r="W211" s="5">
        <v>0.0239</v>
      </c>
      <c r="X211" s="5">
        <v>0.0371</v>
      </c>
      <c r="Y211" s="5">
        <v>0.0212</v>
      </c>
      <c r="Z211" s="5">
        <v>0.0318</v>
      </c>
      <c r="AA211" s="5">
        <v>0.0292</v>
      </c>
      <c r="AB211" s="5">
        <v>0.0292</v>
      </c>
      <c r="AC211" s="5">
        <v>0.0212</v>
      </c>
      <c r="AD211" s="5">
        <v>0.0212</v>
      </c>
      <c r="AE211" s="5">
        <v>0.0133</v>
      </c>
      <c r="AF211" s="5">
        <v>0.0133</v>
      </c>
      <c r="AG211" s="5">
        <v>0.0159</v>
      </c>
      <c r="AH211" s="2" t="s">
        <v>91</v>
      </c>
      <c r="AI211" s="2" t="s">
        <v>91</v>
      </c>
    </row>
    <row r="212" ht="16.5" hidden="1" spans="1:35">
      <c r="A212" s="2" t="s">
        <v>93</v>
      </c>
      <c r="B212" s="2" t="s">
        <v>106</v>
      </c>
      <c r="C212" s="4">
        <v>301</v>
      </c>
      <c r="D212" s="2" t="s">
        <v>19</v>
      </c>
      <c r="E212" s="4">
        <v>301</v>
      </c>
      <c r="F212" s="4">
        <v>126</v>
      </c>
      <c r="G212" s="4">
        <v>80</v>
      </c>
      <c r="H212" s="4">
        <v>52</v>
      </c>
      <c r="I212" s="4">
        <v>50</v>
      </c>
      <c r="J212" s="4">
        <v>36</v>
      </c>
      <c r="K212" s="4">
        <v>34</v>
      </c>
      <c r="L212" s="4">
        <v>26</v>
      </c>
      <c r="M212" s="4">
        <v>21</v>
      </c>
      <c r="N212" s="4">
        <v>14</v>
      </c>
      <c r="O212" s="4">
        <v>14</v>
      </c>
      <c r="P212" s="4">
        <v>19</v>
      </c>
      <c r="Q212" s="4">
        <v>9</v>
      </c>
      <c r="R212" s="4">
        <v>8</v>
      </c>
      <c r="S212" s="4">
        <v>11</v>
      </c>
      <c r="T212" s="4">
        <v>6</v>
      </c>
      <c r="U212" s="4">
        <v>7</v>
      </c>
      <c r="V212" s="4">
        <v>8</v>
      </c>
      <c r="W212" s="4">
        <v>9</v>
      </c>
      <c r="X212" s="4">
        <v>5</v>
      </c>
      <c r="Y212" s="4">
        <v>3</v>
      </c>
      <c r="Z212" s="4">
        <v>7</v>
      </c>
      <c r="AA212" s="4">
        <v>5</v>
      </c>
      <c r="AB212" s="4">
        <v>5</v>
      </c>
      <c r="AC212" s="4">
        <v>7</v>
      </c>
      <c r="AD212" s="4">
        <v>8</v>
      </c>
      <c r="AE212" s="4">
        <v>4</v>
      </c>
      <c r="AF212" s="4">
        <v>5</v>
      </c>
      <c r="AG212" s="2" t="s">
        <v>91</v>
      </c>
      <c r="AH212" s="2" t="s">
        <v>91</v>
      </c>
      <c r="AI212" s="2" t="s">
        <v>91</v>
      </c>
    </row>
    <row r="213" ht="16.5" hidden="1" spans="1:35">
      <c r="A213" s="2" t="s">
        <v>93</v>
      </c>
      <c r="B213" s="2" t="s">
        <v>106</v>
      </c>
      <c r="C213" s="4">
        <v>301</v>
      </c>
      <c r="D213" s="2" t="s">
        <v>74</v>
      </c>
      <c r="E213" s="6">
        <v>1</v>
      </c>
      <c r="F213" s="5">
        <v>0.4186</v>
      </c>
      <c r="G213" s="5">
        <v>0.2658</v>
      </c>
      <c r="H213" s="5">
        <v>0.1728</v>
      </c>
      <c r="I213" s="5">
        <v>0.1661</v>
      </c>
      <c r="J213" s="5">
        <v>0.1196</v>
      </c>
      <c r="K213" s="5">
        <v>0.113</v>
      </c>
      <c r="L213" s="5">
        <v>0.0864</v>
      </c>
      <c r="M213" s="5">
        <v>0.0698</v>
      </c>
      <c r="N213" s="5">
        <v>0.0465</v>
      </c>
      <c r="O213" s="5">
        <v>0.0465</v>
      </c>
      <c r="P213" s="5">
        <v>0.0631</v>
      </c>
      <c r="Q213" s="5">
        <v>0.0299</v>
      </c>
      <c r="R213" s="5">
        <v>0.0266</v>
      </c>
      <c r="S213" s="5">
        <v>0.0365</v>
      </c>
      <c r="T213" s="5">
        <v>0.0199</v>
      </c>
      <c r="U213" s="5">
        <v>0.0233</v>
      </c>
      <c r="V213" s="5">
        <v>0.0266</v>
      </c>
      <c r="W213" s="5">
        <v>0.0299</v>
      </c>
      <c r="X213" s="5">
        <v>0.0166</v>
      </c>
      <c r="Y213" s="6">
        <v>0.01</v>
      </c>
      <c r="Z213" s="5">
        <v>0.0233</v>
      </c>
      <c r="AA213" s="5">
        <v>0.0166</v>
      </c>
      <c r="AB213" s="5">
        <v>0.0166</v>
      </c>
      <c r="AC213" s="5">
        <v>0.0233</v>
      </c>
      <c r="AD213" s="5">
        <v>0.0266</v>
      </c>
      <c r="AE213" s="5">
        <v>0.0133</v>
      </c>
      <c r="AF213" s="5">
        <v>0.0166</v>
      </c>
      <c r="AG213" s="2" t="s">
        <v>91</v>
      </c>
      <c r="AH213" s="2" t="s">
        <v>91</v>
      </c>
      <c r="AI213" s="2" t="s">
        <v>91</v>
      </c>
    </row>
    <row r="214" ht="16.5" hidden="1" spans="1:35">
      <c r="A214" s="2" t="s">
        <v>94</v>
      </c>
      <c r="B214" s="2" t="s">
        <v>106</v>
      </c>
      <c r="C214" s="4">
        <v>178</v>
      </c>
      <c r="D214" s="2" t="s">
        <v>19</v>
      </c>
      <c r="E214" s="4">
        <v>178</v>
      </c>
      <c r="F214" s="4">
        <v>58</v>
      </c>
      <c r="G214" s="4">
        <v>36</v>
      </c>
      <c r="H214" s="4">
        <v>35</v>
      </c>
      <c r="I214" s="4">
        <v>31</v>
      </c>
      <c r="J214" s="4">
        <v>23</v>
      </c>
      <c r="K214" s="4">
        <v>10</v>
      </c>
      <c r="L214" s="4">
        <v>15</v>
      </c>
      <c r="M214" s="4">
        <v>14</v>
      </c>
      <c r="N214" s="4">
        <v>8</v>
      </c>
      <c r="O214" s="4">
        <v>7</v>
      </c>
      <c r="P214" s="4">
        <v>13</v>
      </c>
      <c r="Q214" s="4">
        <v>6</v>
      </c>
      <c r="R214" s="4">
        <v>8</v>
      </c>
      <c r="S214" s="4">
        <v>12</v>
      </c>
      <c r="T214" s="4">
        <v>7</v>
      </c>
      <c r="U214" s="4">
        <v>2</v>
      </c>
      <c r="V214" s="4">
        <v>4</v>
      </c>
      <c r="W214" s="4">
        <v>7</v>
      </c>
      <c r="X214" s="4">
        <v>4</v>
      </c>
      <c r="Y214" s="4">
        <v>6</v>
      </c>
      <c r="Z214" s="4">
        <v>4</v>
      </c>
      <c r="AA214" s="4">
        <v>2</v>
      </c>
      <c r="AB214" s="4">
        <v>4</v>
      </c>
      <c r="AC214" s="4">
        <v>5</v>
      </c>
      <c r="AD214" s="4">
        <v>6</v>
      </c>
      <c r="AE214" s="4">
        <v>3</v>
      </c>
      <c r="AF214" s="2" t="s">
        <v>91</v>
      </c>
      <c r="AG214" s="2" t="s">
        <v>91</v>
      </c>
      <c r="AH214" s="2" t="s">
        <v>91</v>
      </c>
      <c r="AI214" s="2" t="s">
        <v>91</v>
      </c>
    </row>
    <row r="215" ht="16.5" hidden="1" spans="1:35">
      <c r="A215" s="2" t="s">
        <v>94</v>
      </c>
      <c r="B215" s="2" t="s">
        <v>106</v>
      </c>
      <c r="C215" s="4">
        <v>178</v>
      </c>
      <c r="D215" s="2" t="s">
        <v>74</v>
      </c>
      <c r="E215" s="6">
        <v>1</v>
      </c>
      <c r="F215" s="5">
        <v>0.3258</v>
      </c>
      <c r="G215" s="5">
        <v>0.2022</v>
      </c>
      <c r="H215" s="5">
        <v>0.1966</v>
      </c>
      <c r="I215" s="5">
        <v>0.1742</v>
      </c>
      <c r="J215" s="5">
        <v>0.1292</v>
      </c>
      <c r="K215" s="5">
        <v>0.0562</v>
      </c>
      <c r="L215" s="5">
        <v>0.0843</v>
      </c>
      <c r="M215" s="5">
        <v>0.0787</v>
      </c>
      <c r="N215" s="5">
        <v>0.0449</v>
      </c>
      <c r="O215" s="5">
        <v>0.0393</v>
      </c>
      <c r="P215" s="5">
        <v>0.073</v>
      </c>
      <c r="Q215" s="5">
        <v>0.0337</v>
      </c>
      <c r="R215" s="5">
        <v>0.0449</v>
      </c>
      <c r="S215" s="5">
        <v>0.0674</v>
      </c>
      <c r="T215" s="5">
        <v>0.0393</v>
      </c>
      <c r="U215" s="5">
        <v>0.0112</v>
      </c>
      <c r="V215" s="5">
        <v>0.0225</v>
      </c>
      <c r="W215" s="5">
        <v>0.0393</v>
      </c>
      <c r="X215" s="5">
        <v>0.0225</v>
      </c>
      <c r="Y215" s="5">
        <v>0.0337</v>
      </c>
      <c r="Z215" s="5">
        <v>0.0225</v>
      </c>
      <c r="AA215" s="5">
        <v>0.0112</v>
      </c>
      <c r="AB215" s="5">
        <v>0.0225</v>
      </c>
      <c r="AC215" s="5">
        <v>0.0281</v>
      </c>
      <c r="AD215" s="5">
        <v>0.0337</v>
      </c>
      <c r="AE215" s="5">
        <v>0.0169</v>
      </c>
      <c r="AF215" s="2" t="s">
        <v>91</v>
      </c>
      <c r="AG215" s="2" t="s">
        <v>91</v>
      </c>
      <c r="AH215" s="2" t="s">
        <v>91</v>
      </c>
      <c r="AI215" s="2" t="s">
        <v>91</v>
      </c>
    </row>
    <row r="216" ht="16.5" hidden="1" spans="1:35">
      <c r="A216" s="2" t="s">
        <v>95</v>
      </c>
      <c r="B216" s="2" t="s">
        <v>106</v>
      </c>
      <c r="C216" s="4">
        <v>25</v>
      </c>
      <c r="D216" s="2" t="s">
        <v>19</v>
      </c>
      <c r="E216" s="4">
        <v>25</v>
      </c>
      <c r="F216" s="4">
        <v>5</v>
      </c>
      <c r="G216" s="4">
        <v>3</v>
      </c>
      <c r="H216" s="4">
        <v>3</v>
      </c>
      <c r="I216" s="4">
        <v>2</v>
      </c>
      <c r="J216" s="4">
        <v>3</v>
      </c>
      <c r="K216" s="4">
        <v>3</v>
      </c>
      <c r="L216" s="4">
        <v>4</v>
      </c>
      <c r="M216" s="4">
        <v>4</v>
      </c>
      <c r="N216" s="4">
        <v>2</v>
      </c>
      <c r="O216" s="4">
        <v>2</v>
      </c>
      <c r="P216" s="4">
        <v>3</v>
      </c>
      <c r="Q216" s="4">
        <v>1</v>
      </c>
      <c r="R216" s="4">
        <v>2</v>
      </c>
      <c r="S216" s="4">
        <v>3</v>
      </c>
      <c r="T216" s="4">
        <v>2</v>
      </c>
      <c r="U216" s="4">
        <v>3</v>
      </c>
      <c r="V216" s="4">
        <v>2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  <c r="AB216" s="4">
        <v>2</v>
      </c>
      <c r="AC216" s="4">
        <v>1</v>
      </c>
      <c r="AD216" s="4">
        <v>1</v>
      </c>
      <c r="AE216" s="2" t="s">
        <v>91</v>
      </c>
      <c r="AF216" s="2" t="s">
        <v>91</v>
      </c>
      <c r="AG216" s="2" t="s">
        <v>91</v>
      </c>
      <c r="AH216" s="2" t="s">
        <v>91</v>
      </c>
      <c r="AI216" s="2" t="s">
        <v>91</v>
      </c>
    </row>
    <row r="217" ht="16.5" hidden="1" spans="1:35">
      <c r="A217" s="2" t="s">
        <v>95</v>
      </c>
      <c r="B217" s="2" t="s">
        <v>106</v>
      </c>
      <c r="C217" s="4">
        <v>25</v>
      </c>
      <c r="D217" s="2" t="s">
        <v>74</v>
      </c>
      <c r="E217" s="6">
        <v>1</v>
      </c>
      <c r="F217" s="6">
        <v>0.2</v>
      </c>
      <c r="G217" s="6">
        <v>0.12</v>
      </c>
      <c r="H217" s="6">
        <v>0.12</v>
      </c>
      <c r="I217" s="6">
        <v>0.08</v>
      </c>
      <c r="J217" s="6">
        <v>0.12</v>
      </c>
      <c r="K217" s="6">
        <v>0.12</v>
      </c>
      <c r="L217" s="6">
        <v>0.16</v>
      </c>
      <c r="M217" s="6">
        <v>0.16</v>
      </c>
      <c r="N217" s="6">
        <v>0.08</v>
      </c>
      <c r="O217" s="6">
        <v>0.08</v>
      </c>
      <c r="P217" s="6">
        <v>0.12</v>
      </c>
      <c r="Q217" s="6">
        <v>0.04</v>
      </c>
      <c r="R217" s="6">
        <v>0.08</v>
      </c>
      <c r="S217" s="6">
        <v>0.12</v>
      </c>
      <c r="T217" s="6">
        <v>0.08</v>
      </c>
      <c r="U217" s="6">
        <v>0.12</v>
      </c>
      <c r="V217" s="6">
        <v>0.08</v>
      </c>
      <c r="W217" s="6">
        <v>0.04</v>
      </c>
      <c r="X217" s="6">
        <v>0.04</v>
      </c>
      <c r="Y217" s="6">
        <v>0.04</v>
      </c>
      <c r="Z217" s="6">
        <v>0.04</v>
      </c>
      <c r="AA217" s="6">
        <v>0.04</v>
      </c>
      <c r="AB217" s="6">
        <v>0.08</v>
      </c>
      <c r="AC217" s="6">
        <v>0.04</v>
      </c>
      <c r="AD217" s="6">
        <v>0.04</v>
      </c>
      <c r="AE217" s="2" t="s">
        <v>91</v>
      </c>
      <c r="AF217" s="2" t="s">
        <v>91</v>
      </c>
      <c r="AG217" s="2" t="s">
        <v>91</v>
      </c>
      <c r="AH217" s="2" t="s">
        <v>91</v>
      </c>
      <c r="AI217" s="2" t="s">
        <v>91</v>
      </c>
    </row>
    <row r="218" ht="16.5" hidden="1" spans="1:35">
      <c r="A218" s="2" t="s">
        <v>96</v>
      </c>
      <c r="B218" s="2" t="s">
        <v>106</v>
      </c>
      <c r="C218" s="4">
        <v>5</v>
      </c>
      <c r="D218" s="2" t="s">
        <v>19</v>
      </c>
      <c r="E218" s="4">
        <v>5</v>
      </c>
      <c r="F218" s="4">
        <v>1</v>
      </c>
      <c r="G218" s="4">
        <v>1</v>
      </c>
      <c r="H218" s="4">
        <v>1</v>
      </c>
      <c r="I218" s="4">
        <v>0</v>
      </c>
      <c r="J218" s="4">
        <v>1</v>
      </c>
      <c r="K218" s="4">
        <v>1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91</v>
      </c>
      <c r="AE218" s="2" t="s">
        <v>91</v>
      </c>
      <c r="AF218" s="2" t="s">
        <v>91</v>
      </c>
      <c r="AG218" s="2" t="s">
        <v>91</v>
      </c>
      <c r="AH218" s="2" t="s">
        <v>91</v>
      </c>
      <c r="AI218" s="2" t="s">
        <v>91</v>
      </c>
    </row>
    <row r="219" ht="16.5" hidden="1" spans="1:35">
      <c r="A219" s="2" t="s">
        <v>96</v>
      </c>
      <c r="B219" s="2" t="s">
        <v>106</v>
      </c>
      <c r="C219" s="4">
        <v>5</v>
      </c>
      <c r="D219" s="2" t="s">
        <v>74</v>
      </c>
      <c r="E219" s="6">
        <v>1</v>
      </c>
      <c r="F219" s="6">
        <v>0.2</v>
      </c>
      <c r="G219" s="6">
        <v>0.2</v>
      </c>
      <c r="H219" s="6">
        <v>0.2</v>
      </c>
      <c r="I219" s="6">
        <v>0</v>
      </c>
      <c r="J219" s="6">
        <v>0.2</v>
      </c>
      <c r="K219" s="6">
        <v>0.2</v>
      </c>
      <c r="L219" s="6">
        <v>0.2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2" t="s">
        <v>91</v>
      </c>
      <c r="AE219" s="2" t="s">
        <v>91</v>
      </c>
      <c r="AF219" s="2" t="s">
        <v>91</v>
      </c>
      <c r="AG219" s="2" t="s">
        <v>91</v>
      </c>
      <c r="AH219" s="2" t="s">
        <v>91</v>
      </c>
      <c r="AI219" s="2" t="s">
        <v>91</v>
      </c>
    </row>
    <row r="220" ht="16.5" hidden="1" spans="1:35">
      <c r="A220" s="2" t="s">
        <v>33</v>
      </c>
      <c r="B220" s="2" t="s">
        <v>106</v>
      </c>
      <c r="C220" s="4">
        <v>6</v>
      </c>
      <c r="D220" s="2" t="s">
        <v>19</v>
      </c>
      <c r="E220" s="4">
        <v>6</v>
      </c>
      <c r="F220" s="4">
        <v>0</v>
      </c>
      <c r="G220" s="4">
        <v>1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2" t="s">
        <v>91</v>
      </c>
      <c r="AD220" s="2" t="s">
        <v>91</v>
      </c>
      <c r="AE220" s="2" t="s">
        <v>91</v>
      </c>
      <c r="AF220" s="2" t="s">
        <v>91</v>
      </c>
      <c r="AG220" s="2" t="s">
        <v>91</v>
      </c>
      <c r="AH220" s="2" t="s">
        <v>91</v>
      </c>
      <c r="AI220" s="2" t="s">
        <v>91</v>
      </c>
    </row>
    <row r="221" ht="16.5" hidden="1" spans="1:35">
      <c r="A221" s="2" t="s">
        <v>33</v>
      </c>
      <c r="B221" s="2" t="s">
        <v>106</v>
      </c>
      <c r="C221" s="4">
        <v>6</v>
      </c>
      <c r="D221" s="2" t="s">
        <v>74</v>
      </c>
      <c r="E221" s="6">
        <v>1</v>
      </c>
      <c r="F221" s="6">
        <v>0</v>
      </c>
      <c r="G221" s="5">
        <v>0.1667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2" t="s">
        <v>91</v>
      </c>
      <c r="AD221" s="2" t="s">
        <v>91</v>
      </c>
      <c r="AE221" s="2" t="s">
        <v>91</v>
      </c>
      <c r="AF221" s="2" t="s">
        <v>91</v>
      </c>
      <c r="AG221" s="2" t="s">
        <v>91</v>
      </c>
      <c r="AH221" s="2" t="s">
        <v>91</v>
      </c>
      <c r="AI221" s="2" t="s">
        <v>91</v>
      </c>
    </row>
    <row r="222" ht="16.5" hidden="1" spans="1:35">
      <c r="A222" s="2" t="s">
        <v>37</v>
      </c>
      <c r="B222" s="2" t="s">
        <v>106</v>
      </c>
      <c r="C222" s="4">
        <v>2</v>
      </c>
      <c r="D222" s="2" t="s">
        <v>19</v>
      </c>
      <c r="E222" s="4">
        <v>2</v>
      </c>
      <c r="F222" s="4">
        <v>1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4">
        <v>0</v>
      </c>
      <c r="M222" s="4">
        <v>1</v>
      </c>
      <c r="N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2" t="s">
        <v>91</v>
      </c>
      <c r="AC222" s="2" t="s">
        <v>91</v>
      </c>
      <c r="AD222" s="2" t="s">
        <v>91</v>
      </c>
      <c r="AE222" s="2" t="s">
        <v>91</v>
      </c>
      <c r="AF222" s="2" t="s">
        <v>91</v>
      </c>
      <c r="AG222" s="2" t="s">
        <v>91</v>
      </c>
      <c r="AH222" s="2" t="s">
        <v>91</v>
      </c>
      <c r="AI222" s="2" t="s">
        <v>91</v>
      </c>
    </row>
    <row r="223" ht="16.5" hidden="1" spans="1:35">
      <c r="A223" s="2" t="s">
        <v>37</v>
      </c>
      <c r="B223" s="2" t="s">
        <v>106</v>
      </c>
      <c r="C223" s="4">
        <v>2</v>
      </c>
      <c r="D223" s="2" t="s">
        <v>74</v>
      </c>
      <c r="E223" s="6">
        <v>1</v>
      </c>
      <c r="F223" s="6">
        <v>0.5</v>
      </c>
      <c r="G223" s="6">
        <v>0.5</v>
      </c>
      <c r="H223" s="6">
        <v>0.5</v>
      </c>
      <c r="I223" s="6">
        <v>0.5</v>
      </c>
      <c r="J223" s="6">
        <v>0.5</v>
      </c>
      <c r="K223" s="6">
        <v>0.5</v>
      </c>
      <c r="L223" s="6">
        <v>0</v>
      </c>
      <c r="M223" s="6">
        <v>0.5</v>
      </c>
      <c r="N223" s="6">
        <v>0.5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2" t="s">
        <v>91</v>
      </c>
      <c r="AC223" s="2" t="s">
        <v>91</v>
      </c>
      <c r="AD223" s="2" t="s">
        <v>91</v>
      </c>
      <c r="AE223" s="2" t="s">
        <v>91</v>
      </c>
      <c r="AF223" s="2" t="s">
        <v>91</v>
      </c>
      <c r="AG223" s="2" t="s">
        <v>91</v>
      </c>
      <c r="AH223" s="2" t="s">
        <v>91</v>
      </c>
      <c r="AI223" s="2" t="s">
        <v>91</v>
      </c>
    </row>
    <row r="224" ht="16.5" hidden="1" spans="1:35">
      <c r="A224" s="2" t="s">
        <v>38</v>
      </c>
      <c r="B224" s="2" t="s">
        <v>106</v>
      </c>
      <c r="C224" s="4">
        <v>1</v>
      </c>
      <c r="D224" s="2" t="s">
        <v>19</v>
      </c>
      <c r="E224" s="4">
        <v>1</v>
      </c>
      <c r="F224" s="4">
        <v>1</v>
      </c>
      <c r="G224" s="4">
        <v>1</v>
      </c>
      <c r="H224" s="4">
        <v>1</v>
      </c>
      <c r="I224" s="4">
        <v>0</v>
      </c>
      <c r="J224" s="4">
        <v>0</v>
      </c>
      <c r="K224" s="4">
        <v>1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2" t="s">
        <v>91</v>
      </c>
      <c r="AB224" s="2" t="s">
        <v>91</v>
      </c>
      <c r="AC224" s="2" t="s">
        <v>91</v>
      </c>
      <c r="AD224" s="2" t="s">
        <v>91</v>
      </c>
      <c r="AE224" s="2" t="s">
        <v>91</v>
      </c>
      <c r="AF224" s="2" t="s">
        <v>91</v>
      </c>
      <c r="AG224" s="2" t="s">
        <v>91</v>
      </c>
      <c r="AH224" s="2" t="s">
        <v>91</v>
      </c>
      <c r="AI224" s="2" t="s">
        <v>91</v>
      </c>
    </row>
    <row r="225" ht="16.5" hidden="1" spans="1:35">
      <c r="A225" s="2" t="s">
        <v>38</v>
      </c>
      <c r="B225" s="2" t="s">
        <v>106</v>
      </c>
      <c r="C225" s="4">
        <v>1</v>
      </c>
      <c r="D225" s="2" t="s">
        <v>74</v>
      </c>
      <c r="E225" s="6">
        <v>1</v>
      </c>
      <c r="F225" s="6">
        <v>1</v>
      </c>
      <c r="G225" s="6">
        <v>1</v>
      </c>
      <c r="H225" s="6">
        <v>1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1</v>
      </c>
      <c r="AA225" s="2" t="s">
        <v>91</v>
      </c>
      <c r="AB225" s="2" t="s">
        <v>91</v>
      </c>
      <c r="AC225" s="2" t="s">
        <v>91</v>
      </c>
      <c r="AD225" s="2" t="s">
        <v>91</v>
      </c>
      <c r="AE225" s="2" t="s">
        <v>91</v>
      </c>
      <c r="AF225" s="2" t="s">
        <v>91</v>
      </c>
      <c r="AG225" s="2" t="s">
        <v>91</v>
      </c>
      <c r="AH225" s="2" t="s">
        <v>91</v>
      </c>
      <c r="AI225" s="2" t="s">
        <v>91</v>
      </c>
    </row>
    <row r="226" ht="16.5" hidden="1" spans="1:35">
      <c r="A226" s="2" t="s">
        <v>39</v>
      </c>
      <c r="B226" s="2" t="s">
        <v>106</v>
      </c>
      <c r="C226" s="4">
        <v>3</v>
      </c>
      <c r="D226" s="2" t="s">
        <v>19</v>
      </c>
      <c r="E226" s="4">
        <v>3</v>
      </c>
      <c r="F226" s="4">
        <v>0</v>
      </c>
      <c r="G226" s="4">
        <v>0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2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1</v>
      </c>
      <c r="Z226" s="2" t="s">
        <v>91</v>
      </c>
      <c r="AA226" s="2" t="s">
        <v>91</v>
      </c>
      <c r="AB226" s="2" t="s">
        <v>91</v>
      </c>
      <c r="AC226" s="2" t="s">
        <v>91</v>
      </c>
      <c r="AD226" s="2" t="s">
        <v>91</v>
      </c>
      <c r="AE226" s="2" t="s">
        <v>91</v>
      </c>
      <c r="AF226" s="2" t="s">
        <v>91</v>
      </c>
      <c r="AG226" s="2" t="s">
        <v>91</v>
      </c>
      <c r="AH226" s="2" t="s">
        <v>91</v>
      </c>
      <c r="AI226" s="2" t="s">
        <v>91</v>
      </c>
    </row>
    <row r="227" ht="16.5" hidden="1" spans="1:35">
      <c r="A227" s="2" t="s">
        <v>39</v>
      </c>
      <c r="B227" s="2" t="s">
        <v>106</v>
      </c>
      <c r="C227" s="4">
        <v>3</v>
      </c>
      <c r="D227" s="2" t="s">
        <v>74</v>
      </c>
      <c r="E227" s="6">
        <v>1</v>
      </c>
      <c r="F227" s="6">
        <v>0</v>
      </c>
      <c r="G227" s="6">
        <v>0</v>
      </c>
      <c r="H227" s="5">
        <v>0.3333</v>
      </c>
      <c r="I227" s="6">
        <v>0</v>
      </c>
      <c r="J227" s="5">
        <v>0.3333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5">
        <v>0.6667</v>
      </c>
      <c r="S227" s="5">
        <v>0.3333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v>0.3333</v>
      </c>
      <c r="Z227" s="2" t="s">
        <v>91</v>
      </c>
      <c r="AA227" s="2" t="s">
        <v>91</v>
      </c>
      <c r="AB227" s="2" t="s">
        <v>91</v>
      </c>
      <c r="AC227" s="2" t="s">
        <v>91</v>
      </c>
      <c r="AD227" s="2" t="s">
        <v>91</v>
      </c>
      <c r="AE227" s="2" t="s">
        <v>91</v>
      </c>
      <c r="AF227" s="2" t="s">
        <v>91</v>
      </c>
      <c r="AG227" s="2" t="s">
        <v>91</v>
      </c>
      <c r="AH227" s="2" t="s">
        <v>91</v>
      </c>
      <c r="AI227" s="2" t="s">
        <v>91</v>
      </c>
    </row>
    <row r="228" ht="16.5" hidden="1" spans="1:35">
      <c r="A228" s="2" t="s">
        <v>40</v>
      </c>
      <c r="B228" s="2" t="s">
        <v>106</v>
      </c>
      <c r="C228" s="4">
        <v>1</v>
      </c>
      <c r="D228" s="2" t="s">
        <v>19</v>
      </c>
      <c r="E228" s="4">
        <v>1</v>
      </c>
      <c r="F228" s="4">
        <v>1</v>
      </c>
      <c r="G228" s="4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2" t="s">
        <v>91</v>
      </c>
      <c r="Z228" s="2" t="s">
        <v>91</v>
      </c>
      <c r="AA228" s="2" t="s">
        <v>91</v>
      </c>
      <c r="AB228" s="2" t="s">
        <v>91</v>
      </c>
      <c r="AC228" s="2" t="s">
        <v>91</v>
      </c>
      <c r="AD228" s="2" t="s">
        <v>91</v>
      </c>
      <c r="AE228" s="2" t="s">
        <v>91</v>
      </c>
      <c r="AF228" s="2" t="s">
        <v>91</v>
      </c>
      <c r="AG228" s="2" t="s">
        <v>91</v>
      </c>
      <c r="AH228" s="2" t="s">
        <v>91</v>
      </c>
      <c r="AI228" s="2" t="s">
        <v>91</v>
      </c>
    </row>
    <row r="229" ht="16.5" hidden="1" spans="1:35">
      <c r="A229" s="2" t="s">
        <v>40</v>
      </c>
      <c r="B229" s="2" t="s">
        <v>106</v>
      </c>
      <c r="C229" s="4">
        <v>1</v>
      </c>
      <c r="D229" s="2" t="s">
        <v>74</v>
      </c>
      <c r="E229" s="6">
        <v>1</v>
      </c>
      <c r="F229" s="6">
        <v>1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2" t="s">
        <v>91</v>
      </c>
      <c r="Z229" s="2" t="s">
        <v>91</v>
      </c>
      <c r="AA229" s="2" t="s">
        <v>91</v>
      </c>
      <c r="AB229" s="2" t="s">
        <v>91</v>
      </c>
      <c r="AC229" s="2" t="s">
        <v>91</v>
      </c>
      <c r="AD229" s="2" t="s">
        <v>91</v>
      </c>
      <c r="AE229" s="2" t="s">
        <v>91</v>
      </c>
      <c r="AF229" s="2" t="s">
        <v>91</v>
      </c>
      <c r="AG229" s="2" t="s">
        <v>91</v>
      </c>
      <c r="AH229" s="2" t="s">
        <v>91</v>
      </c>
      <c r="AI229" s="2" t="s">
        <v>91</v>
      </c>
    </row>
    <row r="230" ht="16.5" hidden="1" spans="1:35">
      <c r="A230" s="2" t="s">
        <v>41</v>
      </c>
      <c r="B230" s="2" t="s">
        <v>106</v>
      </c>
      <c r="C230" s="4">
        <v>1</v>
      </c>
      <c r="D230" s="2" t="s">
        <v>19</v>
      </c>
      <c r="E230" s="4">
        <v>1</v>
      </c>
      <c r="F230" s="4">
        <v>1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2" t="s">
        <v>91</v>
      </c>
      <c r="Y230" s="2" t="s">
        <v>91</v>
      </c>
      <c r="Z230" s="2" t="s">
        <v>91</v>
      </c>
      <c r="AA230" s="2" t="s">
        <v>91</v>
      </c>
      <c r="AB230" s="2" t="s">
        <v>91</v>
      </c>
      <c r="AC230" s="2" t="s">
        <v>91</v>
      </c>
      <c r="AD230" s="2" t="s">
        <v>91</v>
      </c>
      <c r="AE230" s="2" t="s">
        <v>91</v>
      </c>
      <c r="AF230" s="2" t="s">
        <v>91</v>
      </c>
      <c r="AG230" s="2" t="s">
        <v>91</v>
      </c>
      <c r="AH230" s="2" t="s">
        <v>91</v>
      </c>
      <c r="AI230" s="2" t="s">
        <v>91</v>
      </c>
    </row>
    <row r="231" ht="16.5" hidden="1" spans="1:35">
      <c r="A231" s="2" t="s">
        <v>41</v>
      </c>
      <c r="B231" s="2" t="s">
        <v>106</v>
      </c>
      <c r="C231" s="4">
        <v>1</v>
      </c>
      <c r="D231" s="2" t="s">
        <v>74</v>
      </c>
      <c r="E231" s="6">
        <v>1</v>
      </c>
      <c r="F231" s="6">
        <v>1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2" t="s">
        <v>91</v>
      </c>
      <c r="Y231" s="2" t="s">
        <v>91</v>
      </c>
      <c r="Z231" s="2" t="s">
        <v>91</v>
      </c>
      <c r="AA231" s="2" t="s">
        <v>91</v>
      </c>
      <c r="AB231" s="2" t="s">
        <v>91</v>
      </c>
      <c r="AC231" s="2" t="s">
        <v>91</v>
      </c>
      <c r="AD231" s="2" t="s">
        <v>91</v>
      </c>
      <c r="AE231" s="2" t="s">
        <v>91</v>
      </c>
      <c r="AF231" s="2" t="s">
        <v>91</v>
      </c>
      <c r="AG231" s="2" t="s">
        <v>91</v>
      </c>
      <c r="AH231" s="2" t="s">
        <v>91</v>
      </c>
      <c r="AI231" s="2" t="s">
        <v>91</v>
      </c>
    </row>
    <row r="232" ht="16.5" hidden="1" spans="1:35">
      <c r="A232" s="2" t="s">
        <v>42</v>
      </c>
      <c r="B232" s="2" t="s">
        <v>106</v>
      </c>
      <c r="C232" s="4">
        <v>3</v>
      </c>
      <c r="D232" s="2" t="s">
        <v>19</v>
      </c>
      <c r="E232" s="4">
        <v>3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2" t="s">
        <v>91</v>
      </c>
      <c r="X232" s="2" t="s">
        <v>91</v>
      </c>
      <c r="Y232" s="2" t="s">
        <v>91</v>
      </c>
      <c r="Z232" s="2" t="s">
        <v>91</v>
      </c>
      <c r="AA232" s="2" t="s">
        <v>91</v>
      </c>
      <c r="AB232" s="2" t="s">
        <v>91</v>
      </c>
      <c r="AC232" s="2" t="s">
        <v>91</v>
      </c>
      <c r="AD232" s="2" t="s">
        <v>91</v>
      </c>
      <c r="AE232" s="2" t="s">
        <v>91</v>
      </c>
      <c r="AF232" s="2" t="s">
        <v>91</v>
      </c>
      <c r="AG232" s="2" t="s">
        <v>91</v>
      </c>
      <c r="AH232" s="2" t="s">
        <v>91</v>
      </c>
      <c r="AI232" s="2" t="s">
        <v>91</v>
      </c>
    </row>
    <row r="233" ht="16.5" hidden="1" spans="1:35">
      <c r="A233" s="2" t="s">
        <v>42</v>
      </c>
      <c r="B233" s="2" t="s">
        <v>106</v>
      </c>
      <c r="C233" s="4">
        <v>3</v>
      </c>
      <c r="D233" s="2" t="s">
        <v>74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2" t="s">
        <v>91</v>
      </c>
      <c r="X233" s="2" t="s">
        <v>91</v>
      </c>
      <c r="Y233" s="2" t="s">
        <v>91</v>
      </c>
      <c r="Z233" s="2" t="s">
        <v>91</v>
      </c>
      <c r="AA233" s="2" t="s">
        <v>91</v>
      </c>
      <c r="AB233" s="2" t="s">
        <v>91</v>
      </c>
      <c r="AC233" s="2" t="s">
        <v>91</v>
      </c>
      <c r="AD233" s="2" t="s">
        <v>91</v>
      </c>
      <c r="AE233" s="2" t="s">
        <v>91</v>
      </c>
      <c r="AF233" s="2" t="s">
        <v>91</v>
      </c>
      <c r="AG233" s="2" t="s">
        <v>91</v>
      </c>
      <c r="AH233" s="2" t="s">
        <v>91</v>
      </c>
      <c r="AI233" s="2" t="s">
        <v>91</v>
      </c>
    </row>
    <row r="234" ht="16.5" hidden="1" spans="1:35">
      <c r="A234" s="2" t="s">
        <v>97</v>
      </c>
      <c r="B234" s="2" t="s">
        <v>106</v>
      </c>
      <c r="C234" s="4">
        <v>3</v>
      </c>
      <c r="D234" s="2" t="s">
        <v>19</v>
      </c>
      <c r="E234" s="4">
        <v>3</v>
      </c>
      <c r="F234" s="4">
        <v>1</v>
      </c>
      <c r="G234" s="4">
        <v>1</v>
      </c>
      <c r="H234" s="4">
        <v>1</v>
      </c>
      <c r="I234" s="4">
        <v>0</v>
      </c>
      <c r="J234" s="4">
        <v>0</v>
      </c>
      <c r="K234" s="4">
        <v>0</v>
      </c>
      <c r="L234" s="4">
        <v>0</v>
      </c>
      <c r="M234" s="4">
        <v>1</v>
      </c>
      <c r="N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</v>
      </c>
      <c r="U234" s="2" t="s">
        <v>91</v>
      </c>
      <c r="V234" s="2" t="s">
        <v>91</v>
      </c>
      <c r="W234" s="2" t="s">
        <v>91</v>
      </c>
      <c r="X234" s="2" t="s">
        <v>91</v>
      </c>
      <c r="Y234" s="2" t="s">
        <v>91</v>
      </c>
      <c r="Z234" s="2" t="s">
        <v>91</v>
      </c>
      <c r="AA234" s="2" t="s">
        <v>91</v>
      </c>
      <c r="AB234" s="2" t="s">
        <v>91</v>
      </c>
      <c r="AC234" s="2" t="s">
        <v>91</v>
      </c>
      <c r="AD234" s="2" t="s">
        <v>91</v>
      </c>
      <c r="AE234" s="2" t="s">
        <v>91</v>
      </c>
      <c r="AF234" s="2" t="s">
        <v>91</v>
      </c>
      <c r="AG234" s="2" t="s">
        <v>91</v>
      </c>
      <c r="AH234" s="2" t="s">
        <v>91</v>
      </c>
      <c r="AI234" s="2" t="s">
        <v>91</v>
      </c>
    </row>
    <row r="235" ht="16.5" hidden="1" spans="1:35">
      <c r="A235" s="2" t="s">
        <v>97</v>
      </c>
      <c r="B235" s="2" t="s">
        <v>106</v>
      </c>
      <c r="C235" s="4">
        <v>3</v>
      </c>
      <c r="D235" s="2" t="s">
        <v>74</v>
      </c>
      <c r="E235" s="6">
        <v>1</v>
      </c>
      <c r="F235" s="5">
        <v>0.3333</v>
      </c>
      <c r="G235" s="5">
        <v>0.3333</v>
      </c>
      <c r="H235" s="5">
        <v>0.3333</v>
      </c>
      <c r="I235" s="6">
        <v>0</v>
      </c>
      <c r="J235" s="6">
        <v>0</v>
      </c>
      <c r="K235" s="6">
        <v>0</v>
      </c>
      <c r="L235" s="6">
        <v>0</v>
      </c>
      <c r="M235" s="5">
        <v>0.3333</v>
      </c>
      <c r="N235" s="5">
        <v>0.3333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5">
        <v>0.3333</v>
      </c>
      <c r="U235" s="2" t="s">
        <v>91</v>
      </c>
      <c r="V235" s="2" t="s">
        <v>91</v>
      </c>
      <c r="W235" s="2" t="s">
        <v>91</v>
      </c>
      <c r="X235" s="2" t="s">
        <v>91</v>
      </c>
      <c r="Y235" s="2" t="s">
        <v>91</v>
      </c>
      <c r="Z235" s="2" t="s">
        <v>91</v>
      </c>
      <c r="AA235" s="2" t="s">
        <v>91</v>
      </c>
      <c r="AB235" s="2" t="s">
        <v>91</v>
      </c>
      <c r="AC235" s="2" t="s">
        <v>91</v>
      </c>
      <c r="AD235" s="2" t="s">
        <v>91</v>
      </c>
      <c r="AE235" s="2" t="s">
        <v>91</v>
      </c>
      <c r="AF235" s="2" t="s">
        <v>91</v>
      </c>
      <c r="AG235" s="2" t="s">
        <v>91</v>
      </c>
      <c r="AH235" s="2" t="s">
        <v>91</v>
      </c>
      <c r="AI235" s="2" t="s">
        <v>91</v>
      </c>
    </row>
    <row r="236" ht="16.5" hidden="1" spans="1:35">
      <c r="A236" s="2" t="s">
        <v>24</v>
      </c>
      <c r="B236" s="2" t="s">
        <v>106</v>
      </c>
      <c r="C236" s="4">
        <v>1</v>
      </c>
      <c r="D236" s="2" t="s">
        <v>19</v>
      </c>
      <c r="E236" s="4">
        <v>1</v>
      </c>
      <c r="F236" s="4">
        <v>0</v>
      </c>
      <c r="G236" s="4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2" t="s">
        <v>91</v>
      </c>
      <c r="R236" s="2" t="s">
        <v>91</v>
      </c>
      <c r="S236" s="2" t="s">
        <v>91</v>
      </c>
      <c r="T236" s="2" t="s">
        <v>91</v>
      </c>
      <c r="U236" s="2" t="s">
        <v>91</v>
      </c>
      <c r="V236" s="2" t="s">
        <v>91</v>
      </c>
      <c r="W236" s="2" t="s">
        <v>91</v>
      </c>
      <c r="X236" s="2" t="s">
        <v>91</v>
      </c>
      <c r="Y236" s="2" t="s">
        <v>91</v>
      </c>
      <c r="Z236" s="2" t="s">
        <v>91</v>
      </c>
      <c r="AA236" s="2" t="s">
        <v>91</v>
      </c>
      <c r="AB236" s="2" t="s">
        <v>91</v>
      </c>
      <c r="AC236" s="2" t="s">
        <v>91</v>
      </c>
      <c r="AD236" s="2" t="s">
        <v>91</v>
      </c>
      <c r="AE236" s="2" t="s">
        <v>91</v>
      </c>
      <c r="AF236" s="2" t="s">
        <v>91</v>
      </c>
      <c r="AG236" s="2" t="s">
        <v>91</v>
      </c>
      <c r="AH236" s="2" t="s">
        <v>91</v>
      </c>
      <c r="AI236" s="2" t="s">
        <v>91</v>
      </c>
    </row>
    <row r="237" ht="16.5" hidden="1" spans="1:35">
      <c r="A237" s="2" t="s">
        <v>24</v>
      </c>
      <c r="B237" s="2" t="s">
        <v>106</v>
      </c>
      <c r="C237" s="4">
        <v>1</v>
      </c>
      <c r="D237" s="2" t="s">
        <v>74</v>
      </c>
      <c r="E237" s="6">
        <v>1</v>
      </c>
      <c r="F237" s="6">
        <v>0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2" t="s">
        <v>91</v>
      </c>
      <c r="R237" s="2" t="s">
        <v>91</v>
      </c>
      <c r="S237" s="2" t="s">
        <v>91</v>
      </c>
      <c r="T237" s="2" t="s">
        <v>91</v>
      </c>
      <c r="U237" s="2" t="s">
        <v>91</v>
      </c>
      <c r="V237" s="2" t="s">
        <v>91</v>
      </c>
      <c r="W237" s="2" t="s">
        <v>91</v>
      </c>
      <c r="X237" s="2" t="s">
        <v>91</v>
      </c>
      <c r="Y237" s="2" t="s">
        <v>91</v>
      </c>
      <c r="Z237" s="2" t="s">
        <v>91</v>
      </c>
      <c r="AA237" s="2" t="s">
        <v>91</v>
      </c>
      <c r="AB237" s="2" t="s">
        <v>91</v>
      </c>
      <c r="AC237" s="2" t="s">
        <v>91</v>
      </c>
      <c r="AD237" s="2" t="s">
        <v>91</v>
      </c>
      <c r="AE237" s="2" t="s">
        <v>91</v>
      </c>
      <c r="AF237" s="2" t="s">
        <v>91</v>
      </c>
      <c r="AG237" s="2" t="s">
        <v>91</v>
      </c>
      <c r="AH237" s="2" t="s">
        <v>91</v>
      </c>
      <c r="AI237" s="2" t="s">
        <v>91</v>
      </c>
    </row>
    <row r="238" ht="16.5" hidden="1" spans="1:35">
      <c r="A238" s="2" t="s">
        <v>26</v>
      </c>
      <c r="B238" s="2" t="s">
        <v>106</v>
      </c>
      <c r="C238" s="4">
        <v>2</v>
      </c>
      <c r="D238" s="2" t="s">
        <v>19</v>
      </c>
      <c r="E238" s="4">
        <v>2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2" t="s">
        <v>91</v>
      </c>
      <c r="Q238" s="2" t="s">
        <v>91</v>
      </c>
      <c r="R238" s="2" t="s">
        <v>91</v>
      </c>
      <c r="S238" s="2" t="s">
        <v>91</v>
      </c>
      <c r="T238" s="2" t="s">
        <v>91</v>
      </c>
      <c r="U238" s="2" t="s">
        <v>91</v>
      </c>
      <c r="V238" s="2" t="s">
        <v>91</v>
      </c>
      <c r="W238" s="2" t="s">
        <v>91</v>
      </c>
      <c r="X238" s="2" t="s">
        <v>91</v>
      </c>
      <c r="Y238" s="2" t="s">
        <v>91</v>
      </c>
      <c r="Z238" s="2" t="s">
        <v>91</v>
      </c>
      <c r="AA238" s="2" t="s">
        <v>91</v>
      </c>
      <c r="AB238" s="2" t="s">
        <v>91</v>
      </c>
      <c r="AC238" s="2" t="s">
        <v>91</v>
      </c>
      <c r="AD238" s="2" t="s">
        <v>91</v>
      </c>
      <c r="AE238" s="2" t="s">
        <v>91</v>
      </c>
      <c r="AF238" s="2" t="s">
        <v>91</v>
      </c>
      <c r="AG238" s="2" t="s">
        <v>91</v>
      </c>
      <c r="AH238" s="2" t="s">
        <v>91</v>
      </c>
      <c r="AI238" s="2" t="s">
        <v>91</v>
      </c>
    </row>
    <row r="239" ht="16.5" hidden="1" spans="1:35">
      <c r="A239" s="2" t="s">
        <v>26</v>
      </c>
      <c r="B239" s="2" t="s">
        <v>106</v>
      </c>
      <c r="C239" s="4">
        <v>2</v>
      </c>
      <c r="D239" s="2" t="s">
        <v>74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2" t="s">
        <v>91</v>
      </c>
      <c r="Q239" s="2" t="s">
        <v>91</v>
      </c>
      <c r="R239" s="2" t="s">
        <v>91</v>
      </c>
      <c r="S239" s="2" t="s">
        <v>91</v>
      </c>
      <c r="T239" s="2" t="s">
        <v>91</v>
      </c>
      <c r="U239" s="2" t="s">
        <v>91</v>
      </c>
      <c r="V239" s="2" t="s">
        <v>91</v>
      </c>
      <c r="W239" s="2" t="s">
        <v>91</v>
      </c>
      <c r="X239" s="2" t="s">
        <v>91</v>
      </c>
      <c r="Y239" s="2" t="s">
        <v>91</v>
      </c>
      <c r="Z239" s="2" t="s">
        <v>91</v>
      </c>
      <c r="AA239" s="2" t="s">
        <v>91</v>
      </c>
      <c r="AB239" s="2" t="s">
        <v>91</v>
      </c>
      <c r="AC239" s="2" t="s">
        <v>91</v>
      </c>
      <c r="AD239" s="2" t="s">
        <v>91</v>
      </c>
      <c r="AE239" s="2" t="s">
        <v>91</v>
      </c>
      <c r="AF239" s="2" t="s">
        <v>91</v>
      </c>
      <c r="AG239" s="2" t="s">
        <v>91</v>
      </c>
      <c r="AH239" s="2" t="s">
        <v>91</v>
      </c>
      <c r="AI239" s="2" t="s">
        <v>91</v>
      </c>
    </row>
    <row r="240" ht="16.5" hidden="1" spans="1:35">
      <c r="A240" s="2" t="s">
        <v>32</v>
      </c>
      <c r="B240" s="2" t="s">
        <v>106</v>
      </c>
      <c r="C240" s="4">
        <v>2</v>
      </c>
      <c r="D240" s="2" t="s">
        <v>19</v>
      </c>
      <c r="E240" s="4">
        <v>2</v>
      </c>
      <c r="F240" s="4">
        <v>1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1</v>
      </c>
      <c r="M240" s="2" t="s">
        <v>91</v>
      </c>
      <c r="N240" s="2" t="s">
        <v>91</v>
      </c>
      <c r="O240" s="2" t="s">
        <v>91</v>
      </c>
      <c r="P240" s="2" t="s">
        <v>91</v>
      </c>
      <c r="Q240" s="2" t="s">
        <v>91</v>
      </c>
      <c r="R240" s="2" t="s">
        <v>91</v>
      </c>
      <c r="S240" s="2" t="s">
        <v>91</v>
      </c>
      <c r="T240" s="2" t="s">
        <v>91</v>
      </c>
      <c r="U240" s="2" t="s">
        <v>91</v>
      </c>
      <c r="V240" s="2" t="s">
        <v>91</v>
      </c>
      <c r="W240" s="2" t="s">
        <v>91</v>
      </c>
      <c r="X240" s="2" t="s">
        <v>91</v>
      </c>
      <c r="Y240" s="2" t="s">
        <v>91</v>
      </c>
      <c r="Z240" s="2" t="s">
        <v>91</v>
      </c>
      <c r="AA240" s="2" t="s">
        <v>91</v>
      </c>
      <c r="AB240" s="2" t="s">
        <v>91</v>
      </c>
      <c r="AC240" s="2" t="s">
        <v>91</v>
      </c>
      <c r="AD240" s="2" t="s">
        <v>91</v>
      </c>
      <c r="AE240" s="2" t="s">
        <v>91</v>
      </c>
      <c r="AF240" s="2" t="s">
        <v>91</v>
      </c>
      <c r="AG240" s="2" t="s">
        <v>91</v>
      </c>
      <c r="AH240" s="2" t="s">
        <v>91</v>
      </c>
      <c r="AI240" s="2" t="s">
        <v>91</v>
      </c>
    </row>
    <row r="241" ht="16.5" hidden="1" spans="1:35">
      <c r="A241" s="2" t="s">
        <v>32</v>
      </c>
      <c r="B241" s="2" t="s">
        <v>106</v>
      </c>
      <c r="C241" s="4">
        <v>2</v>
      </c>
      <c r="D241" s="2" t="s">
        <v>74</v>
      </c>
      <c r="E241" s="6">
        <v>1</v>
      </c>
      <c r="F241" s="6">
        <v>0.5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0.5</v>
      </c>
      <c r="M241" s="2" t="s">
        <v>91</v>
      </c>
      <c r="N241" s="2" t="s">
        <v>91</v>
      </c>
      <c r="O241" s="2" t="s">
        <v>91</v>
      </c>
      <c r="P241" s="2" t="s">
        <v>91</v>
      </c>
      <c r="Q241" s="2" t="s">
        <v>91</v>
      </c>
      <c r="R241" s="2" t="s">
        <v>91</v>
      </c>
      <c r="S241" s="2" t="s">
        <v>91</v>
      </c>
      <c r="T241" s="2" t="s">
        <v>91</v>
      </c>
      <c r="U241" s="2" t="s">
        <v>91</v>
      </c>
      <c r="V241" s="2" t="s">
        <v>91</v>
      </c>
      <c r="W241" s="2" t="s">
        <v>91</v>
      </c>
      <c r="X241" s="2" t="s">
        <v>91</v>
      </c>
      <c r="Y241" s="2" t="s">
        <v>91</v>
      </c>
      <c r="Z241" s="2" t="s">
        <v>91</v>
      </c>
      <c r="AA241" s="2" t="s">
        <v>91</v>
      </c>
      <c r="AB241" s="2" t="s">
        <v>91</v>
      </c>
      <c r="AC241" s="2" t="s">
        <v>91</v>
      </c>
      <c r="AD241" s="2" t="s">
        <v>91</v>
      </c>
      <c r="AE241" s="2" t="s">
        <v>91</v>
      </c>
      <c r="AF241" s="2" t="s">
        <v>91</v>
      </c>
      <c r="AG241" s="2" t="s">
        <v>91</v>
      </c>
      <c r="AH241" s="2" t="s">
        <v>91</v>
      </c>
      <c r="AI241" s="2" t="s">
        <v>91</v>
      </c>
    </row>
    <row r="242" ht="16.5" hidden="1" spans="1:35">
      <c r="A242" s="2" t="s">
        <v>98</v>
      </c>
      <c r="B242" s="2" t="s">
        <v>106</v>
      </c>
      <c r="C242" s="4">
        <v>1</v>
      </c>
      <c r="D242" s="2" t="s">
        <v>19</v>
      </c>
      <c r="E242" s="4">
        <v>1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</v>
      </c>
      <c r="L242" s="2" t="s">
        <v>91</v>
      </c>
      <c r="M242" s="2" t="s">
        <v>91</v>
      </c>
      <c r="N242" s="2" t="s">
        <v>91</v>
      </c>
      <c r="O242" s="2" t="s">
        <v>91</v>
      </c>
      <c r="P242" s="2" t="s">
        <v>91</v>
      </c>
      <c r="Q242" s="2" t="s">
        <v>91</v>
      </c>
      <c r="R242" s="2" t="s">
        <v>91</v>
      </c>
      <c r="S242" s="2" t="s">
        <v>91</v>
      </c>
      <c r="T242" s="2" t="s">
        <v>91</v>
      </c>
      <c r="U242" s="2" t="s">
        <v>91</v>
      </c>
      <c r="V242" s="2" t="s">
        <v>91</v>
      </c>
      <c r="W242" s="2" t="s">
        <v>91</v>
      </c>
      <c r="X242" s="2" t="s">
        <v>91</v>
      </c>
      <c r="Y242" s="2" t="s">
        <v>91</v>
      </c>
      <c r="Z242" s="2" t="s">
        <v>91</v>
      </c>
      <c r="AA242" s="2" t="s">
        <v>91</v>
      </c>
      <c r="AB242" s="2" t="s">
        <v>91</v>
      </c>
      <c r="AC242" s="2" t="s">
        <v>91</v>
      </c>
      <c r="AD242" s="2" t="s">
        <v>91</v>
      </c>
      <c r="AE242" s="2" t="s">
        <v>91</v>
      </c>
      <c r="AF242" s="2" t="s">
        <v>91</v>
      </c>
      <c r="AG242" s="2" t="s">
        <v>91</v>
      </c>
      <c r="AH242" s="2" t="s">
        <v>91</v>
      </c>
      <c r="AI242" s="2" t="s">
        <v>91</v>
      </c>
    </row>
    <row r="243" ht="16.5" hidden="1" spans="1:35">
      <c r="A243" s="2" t="s">
        <v>98</v>
      </c>
      <c r="B243" s="2" t="s">
        <v>106</v>
      </c>
      <c r="C243" s="4">
        <v>1</v>
      </c>
      <c r="D243" s="2" t="s">
        <v>74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2" t="s">
        <v>91</v>
      </c>
      <c r="M243" s="2" t="s">
        <v>91</v>
      </c>
      <c r="N243" s="2" t="s">
        <v>91</v>
      </c>
      <c r="O243" s="2" t="s">
        <v>91</v>
      </c>
      <c r="P243" s="2" t="s">
        <v>91</v>
      </c>
      <c r="Q243" s="2" t="s">
        <v>91</v>
      </c>
      <c r="R243" s="2" t="s">
        <v>91</v>
      </c>
      <c r="S243" s="2" t="s">
        <v>91</v>
      </c>
      <c r="T243" s="2" t="s">
        <v>91</v>
      </c>
      <c r="U243" s="2" t="s">
        <v>91</v>
      </c>
      <c r="V243" s="2" t="s">
        <v>91</v>
      </c>
      <c r="W243" s="2" t="s">
        <v>91</v>
      </c>
      <c r="X243" s="2" t="s">
        <v>91</v>
      </c>
      <c r="Y243" s="2" t="s">
        <v>91</v>
      </c>
      <c r="Z243" s="2" t="s">
        <v>91</v>
      </c>
      <c r="AA243" s="2" t="s">
        <v>91</v>
      </c>
      <c r="AB243" s="2" t="s">
        <v>91</v>
      </c>
      <c r="AC243" s="2" t="s">
        <v>91</v>
      </c>
      <c r="AD243" s="2" t="s">
        <v>91</v>
      </c>
      <c r="AE243" s="2" t="s">
        <v>91</v>
      </c>
      <c r="AF243" s="2" t="s">
        <v>91</v>
      </c>
      <c r="AG243" s="2" t="s">
        <v>91</v>
      </c>
      <c r="AH243" s="2" t="s">
        <v>91</v>
      </c>
      <c r="AI243" s="2" t="s">
        <v>91</v>
      </c>
    </row>
    <row r="244" ht="16.5" hidden="1" spans="1:35">
      <c r="A244" s="2" t="s">
        <v>99</v>
      </c>
      <c r="B244" s="2" t="s">
        <v>106</v>
      </c>
      <c r="C244" s="4">
        <v>1</v>
      </c>
      <c r="D244" s="2" t="s">
        <v>19</v>
      </c>
      <c r="E244" s="4">
        <v>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2" t="s">
        <v>91</v>
      </c>
      <c r="L244" s="2" t="s">
        <v>91</v>
      </c>
      <c r="M244" s="2" t="s">
        <v>91</v>
      </c>
      <c r="N244" s="2" t="s">
        <v>91</v>
      </c>
      <c r="O244" s="2" t="s">
        <v>91</v>
      </c>
      <c r="P244" s="2" t="s">
        <v>91</v>
      </c>
      <c r="Q244" s="2" t="s">
        <v>91</v>
      </c>
      <c r="R244" s="2" t="s">
        <v>91</v>
      </c>
      <c r="S244" s="2" t="s">
        <v>91</v>
      </c>
      <c r="T244" s="2" t="s">
        <v>91</v>
      </c>
      <c r="U244" s="2" t="s">
        <v>91</v>
      </c>
      <c r="V244" s="2" t="s">
        <v>91</v>
      </c>
      <c r="W244" s="2" t="s">
        <v>91</v>
      </c>
      <c r="X244" s="2" t="s">
        <v>91</v>
      </c>
      <c r="Y244" s="2" t="s">
        <v>91</v>
      </c>
      <c r="Z244" s="2" t="s">
        <v>91</v>
      </c>
      <c r="AA244" s="2" t="s">
        <v>91</v>
      </c>
      <c r="AB244" s="2" t="s">
        <v>91</v>
      </c>
      <c r="AC244" s="2" t="s">
        <v>91</v>
      </c>
      <c r="AD244" s="2" t="s">
        <v>91</v>
      </c>
      <c r="AE244" s="2" t="s">
        <v>91</v>
      </c>
      <c r="AF244" s="2" t="s">
        <v>91</v>
      </c>
      <c r="AG244" s="2" t="s">
        <v>91</v>
      </c>
      <c r="AH244" s="2" t="s">
        <v>91</v>
      </c>
      <c r="AI244" s="2" t="s">
        <v>91</v>
      </c>
    </row>
    <row r="245" ht="16.5" hidden="1" spans="1:35">
      <c r="A245" s="2" t="s">
        <v>99</v>
      </c>
      <c r="B245" s="2" t="s">
        <v>106</v>
      </c>
      <c r="C245" s="4">
        <v>1</v>
      </c>
      <c r="D245" s="2" t="s">
        <v>74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2" t="s">
        <v>91</v>
      </c>
      <c r="L245" s="2" t="s">
        <v>91</v>
      </c>
      <c r="M245" s="2" t="s">
        <v>91</v>
      </c>
      <c r="N245" s="2" t="s">
        <v>91</v>
      </c>
      <c r="O245" s="2" t="s">
        <v>91</v>
      </c>
      <c r="P245" s="2" t="s">
        <v>91</v>
      </c>
      <c r="Q245" s="2" t="s">
        <v>91</v>
      </c>
      <c r="R245" s="2" t="s">
        <v>91</v>
      </c>
      <c r="S245" s="2" t="s">
        <v>91</v>
      </c>
      <c r="T245" s="2" t="s">
        <v>91</v>
      </c>
      <c r="U245" s="2" t="s">
        <v>91</v>
      </c>
      <c r="V245" s="2" t="s">
        <v>91</v>
      </c>
      <c r="W245" s="2" t="s">
        <v>91</v>
      </c>
      <c r="X245" s="2" t="s">
        <v>91</v>
      </c>
      <c r="Y245" s="2" t="s">
        <v>91</v>
      </c>
      <c r="Z245" s="2" t="s">
        <v>91</v>
      </c>
      <c r="AA245" s="2" t="s">
        <v>91</v>
      </c>
      <c r="AB245" s="2" t="s">
        <v>91</v>
      </c>
      <c r="AC245" s="2" t="s">
        <v>91</v>
      </c>
      <c r="AD245" s="2" t="s">
        <v>91</v>
      </c>
      <c r="AE245" s="2" t="s">
        <v>91</v>
      </c>
      <c r="AF245" s="2" t="s">
        <v>91</v>
      </c>
      <c r="AG245" s="2" t="s">
        <v>91</v>
      </c>
      <c r="AH245" s="2" t="s">
        <v>91</v>
      </c>
      <c r="AI245" s="2" t="s">
        <v>91</v>
      </c>
    </row>
    <row r="246" ht="16.5" hidden="1" spans="1:35">
      <c r="A246" s="2" t="s">
        <v>101</v>
      </c>
      <c r="B246" s="2" t="s">
        <v>106</v>
      </c>
      <c r="C246" s="4">
        <v>1</v>
      </c>
      <c r="D246" s="2" t="s">
        <v>19</v>
      </c>
      <c r="E246" s="4">
        <v>1</v>
      </c>
      <c r="F246" s="4">
        <v>1</v>
      </c>
      <c r="G246" s="4">
        <v>1</v>
      </c>
      <c r="H246" s="4">
        <v>1</v>
      </c>
      <c r="I246" s="2" t="s">
        <v>91</v>
      </c>
      <c r="J246" s="2" t="s">
        <v>91</v>
      </c>
      <c r="K246" s="2" t="s">
        <v>91</v>
      </c>
      <c r="L246" s="2" t="s">
        <v>91</v>
      </c>
      <c r="M246" s="2" t="s">
        <v>91</v>
      </c>
      <c r="N246" s="2" t="s">
        <v>91</v>
      </c>
      <c r="O246" s="2" t="s">
        <v>91</v>
      </c>
      <c r="P246" s="2" t="s">
        <v>91</v>
      </c>
      <c r="Q246" s="2" t="s">
        <v>91</v>
      </c>
      <c r="R246" s="2" t="s">
        <v>91</v>
      </c>
      <c r="S246" s="2" t="s">
        <v>91</v>
      </c>
      <c r="T246" s="2" t="s">
        <v>91</v>
      </c>
      <c r="U246" s="2" t="s">
        <v>91</v>
      </c>
      <c r="V246" s="2" t="s">
        <v>91</v>
      </c>
      <c r="W246" s="2" t="s">
        <v>91</v>
      </c>
      <c r="X246" s="2" t="s">
        <v>91</v>
      </c>
      <c r="Y246" s="2" t="s">
        <v>91</v>
      </c>
      <c r="Z246" s="2" t="s">
        <v>91</v>
      </c>
      <c r="AA246" s="2" t="s">
        <v>91</v>
      </c>
      <c r="AB246" s="2" t="s">
        <v>91</v>
      </c>
      <c r="AC246" s="2" t="s">
        <v>91</v>
      </c>
      <c r="AD246" s="2" t="s">
        <v>91</v>
      </c>
      <c r="AE246" s="2" t="s">
        <v>91</v>
      </c>
      <c r="AF246" s="2" t="s">
        <v>91</v>
      </c>
      <c r="AG246" s="2" t="s">
        <v>91</v>
      </c>
      <c r="AH246" s="2" t="s">
        <v>91</v>
      </c>
      <c r="AI246" s="2" t="s">
        <v>91</v>
      </c>
    </row>
    <row r="247" ht="16.5" hidden="1" spans="1:35">
      <c r="A247" s="2" t="s">
        <v>101</v>
      </c>
      <c r="B247" s="2" t="s">
        <v>106</v>
      </c>
      <c r="C247" s="4">
        <v>1</v>
      </c>
      <c r="D247" s="2" t="s">
        <v>74</v>
      </c>
      <c r="E247" s="6">
        <v>1</v>
      </c>
      <c r="F247" s="6">
        <v>1</v>
      </c>
      <c r="G247" s="6">
        <v>1</v>
      </c>
      <c r="H247" s="6">
        <v>1</v>
      </c>
      <c r="I247" s="2" t="s">
        <v>91</v>
      </c>
      <c r="J247" s="2" t="s">
        <v>91</v>
      </c>
      <c r="K247" s="2" t="s">
        <v>91</v>
      </c>
      <c r="L247" s="2" t="s">
        <v>91</v>
      </c>
      <c r="M247" s="2" t="s">
        <v>91</v>
      </c>
      <c r="N247" s="2" t="s">
        <v>91</v>
      </c>
      <c r="O247" s="2" t="s">
        <v>91</v>
      </c>
      <c r="P247" s="2" t="s">
        <v>91</v>
      </c>
      <c r="Q247" s="2" t="s">
        <v>91</v>
      </c>
      <c r="R247" s="2" t="s">
        <v>91</v>
      </c>
      <c r="S247" s="2" t="s">
        <v>91</v>
      </c>
      <c r="T247" s="2" t="s">
        <v>91</v>
      </c>
      <c r="U247" s="2" t="s">
        <v>91</v>
      </c>
      <c r="V247" s="2" t="s">
        <v>91</v>
      </c>
      <c r="W247" s="2" t="s">
        <v>91</v>
      </c>
      <c r="X247" s="2" t="s">
        <v>91</v>
      </c>
      <c r="Y247" s="2" t="s">
        <v>91</v>
      </c>
      <c r="Z247" s="2" t="s">
        <v>91</v>
      </c>
      <c r="AA247" s="2" t="s">
        <v>91</v>
      </c>
      <c r="AB247" s="2" t="s">
        <v>91</v>
      </c>
      <c r="AC247" s="2" t="s">
        <v>91</v>
      </c>
      <c r="AD247" s="2" t="s">
        <v>91</v>
      </c>
      <c r="AE247" s="2" t="s">
        <v>91</v>
      </c>
      <c r="AF247" s="2" t="s">
        <v>91</v>
      </c>
      <c r="AG247" s="2" t="s">
        <v>91</v>
      </c>
      <c r="AH247" s="2" t="s">
        <v>91</v>
      </c>
      <c r="AI247" s="2" t="s">
        <v>91</v>
      </c>
    </row>
    <row r="248" ht="16.5" hidden="1" spans="1:35">
      <c r="A248" s="2" t="s">
        <v>102</v>
      </c>
      <c r="B248" s="2" t="s">
        <v>106</v>
      </c>
      <c r="C248" s="4">
        <v>2</v>
      </c>
      <c r="D248" s="2" t="s">
        <v>19</v>
      </c>
      <c r="E248" s="4">
        <v>2</v>
      </c>
      <c r="F248" s="4">
        <v>0</v>
      </c>
      <c r="G248" s="4">
        <v>0</v>
      </c>
      <c r="H248" s="2" t="s">
        <v>91</v>
      </c>
      <c r="I248" s="2" t="s">
        <v>91</v>
      </c>
      <c r="J248" s="2" t="s">
        <v>91</v>
      </c>
      <c r="K248" s="2" t="s">
        <v>91</v>
      </c>
      <c r="L248" s="2" t="s">
        <v>91</v>
      </c>
      <c r="M248" s="2" t="s">
        <v>91</v>
      </c>
      <c r="N248" s="2" t="s">
        <v>91</v>
      </c>
      <c r="O248" s="2" t="s">
        <v>91</v>
      </c>
      <c r="P248" s="2" t="s">
        <v>91</v>
      </c>
      <c r="Q248" s="2" t="s">
        <v>91</v>
      </c>
      <c r="R248" s="2" t="s">
        <v>91</v>
      </c>
      <c r="S248" s="2" t="s">
        <v>91</v>
      </c>
      <c r="T248" s="2" t="s">
        <v>91</v>
      </c>
      <c r="U248" s="2" t="s">
        <v>91</v>
      </c>
      <c r="V248" s="2" t="s">
        <v>91</v>
      </c>
      <c r="W248" s="2" t="s">
        <v>91</v>
      </c>
      <c r="X248" s="2" t="s">
        <v>91</v>
      </c>
      <c r="Y248" s="2" t="s">
        <v>91</v>
      </c>
      <c r="Z248" s="2" t="s">
        <v>91</v>
      </c>
      <c r="AA248" s="2" t="s">
        <v>91</v>
      </c>
      <c r="AB248" s="2" t="s">
        <v>91</v>
      </c>
      <c r="AC248" s="2" t="s">
        <v>91</v>
      </c>
      <c r="AD248" s="2" t="s">
        <v>91</v>
      </c>
      <c r="AE248" s="2" t="s">
        <v>91</v>
      </c>
      <c r="AF248" s="2" t="s">
        <v>91</v>
      </c>
      <c r="AG248" s="2" t="s">
        <v>91</v>
      </c>
      <c r="AH248" s="2" t="s">
        <v>91</v>
      </c>
      <c r="AI248" s="2" t="s">
        <v>91</v>
      </c>
    </row>
    <row r="249" ht="16.5" hidden="1" spans="1:35">
      <c r="A249" s="2" t="s">
        <v>102</v>
      </c>
      <c r="B249" s="2" t="s">
        <v>106</v>
      </c>
      <c r="C249" s="4">
        <v>2</v>
      </c>
      <c r="D249" s="2" t="s">
        <v>74</v>
      </c>
      <c r="E249" s="6">
        <v>1</v>
      </c>
      <c r="F249" s="6">
        <v>0</v>
      </c>
      <c r="G249" s="6">
        <v>0</v>
      </c>
      <c r="H249" s="2" t="s">
        <v>91</v>
      </c>
      <c r="I249" s="2" t="s">
        <v>91</v>
      </c>
      <c r="J249" s="2" t="s">
        <v>91</v>
      </c>
      <c r="K249" s="2" t="s">
        <v>91</v>
      </c>
      <c r="L249" s="2" t="s">
        <v>91</v>
      </c>
      <c r="M249" s="2" t="s">
        <v>91</v>
      </c>
      <c r="N249" s="2" t="s">
        <v>91</v>
      </c>
      <c r="O249" s="2" t="s">
        <v>91</v>
      </c>
      <c r="P249" s="2" t="s">
        <v>91</v>
      </c>
      <c r="Q249" s="2" t="s">
        <v>91</v>
      </c>
      <c r="R249" s="2" t="s">
        <v>91</v>
      </c>
      <c r="S249" s="2" t="s">
        <v>91</v>
      </c>
      <c r="T249" s="2" t="s">
        <v>91</v>
      </c>
      <c r="U249" s="2" t="s">
        <v>91</v>
      </c>
      <c r="V249" s="2" t="s">
        <v>91</v>
      </c>
      <c r="W249" s="2" t="s">
        <v>91</v>
      </c>
      <c r="X249" s="2" t="s">
        <v>91</v>
      </c>
      <c r="Y249" s="2" t="s">
        <v>91</v>
      </c>
      <c r="Z249" s="2" t="s">
        <v>91</v>
      </c>
      <c r="AA249" s="2" t="s">
        <v>91</v>
      </c>
      <c r="AB249" s="2" t="s">
        <v>91</v>
      </c>
      <c r="AC249" s="2" t="s">
        <v>91</v>
      </c>
      <c r="AD249" s="2" t="s">
        <v>91</v>
      </c>
      <c r="AE249" s="2" t="s">
        <v>91</v>
      </c>
      <c r="AF249" s="2" t="s">
        <v>91</v>
      </c>
      <c r="AG249" s="2" t="s">
        <v>91</v>
      </c>
      <c r="AH249" s="2" t="s">
        <v>91</v>
      </c>
      <c r="AI249" s="2" t="s">
        <v>91</v>
      </c>
    </row>
    <row r="250" ht="16.5" hidden="1" spans="1:35">
      <c r="A250" s="2" t="s">
        <v>104</v>
      </c>
      <c r="B250" s="2" t="s">
        <v>106</v>
      </c>
      <c r="C250" s="4">
        <v>2</v>
      </c>
      <c r="D250" s="2" t="s">
        <v>19</v>
      </c>
      <c r="E250" s="4">
        <v>2</v>
      </c>
      <c r="F250" s="2" t="s">
        <v>91</v>
      </c>
      <c r="G250" s="2" t="s">
        <v>91</v>
      </c>
      <c r="H250" s="2" t="s">
        <v>91</v>
      </c>
      <c r="I250" s="2" t="s">
        <v>91</v>
      </c>
      <c r="J250" s="2" t="s">
        <v>91</v>
      </c>
      <c r="K250" s="2" t="s">
        <v>91</v>
      </c>
      <c r="L250" s="2" t="s">
        <v>91</v>
      </c>
      <c r="M250" s="2" t="s">
        <v>91</v>
      </c>
      <c r="N250" s="2" t="s">
        <v>91</v>
      </c>
      <c r="O250" s="2" t="s">
        <v>91</v>
      </c>
      <c r="P250" s="2" t="s">
        <v>91</v>
      </c>
      <c r="Q250" s="2" t="s">
        <v>91</v>
      </c>
      <c r="R250" s="2" t="s">
        <v>91</v>
      </c>
      <c r="S250" s="2" t="s">
        <v>91</v>
      </c>
      <c r="T250" s="2" t="s">
        <v>91</v>
      </c>
      <c r="U250" s="2" t="s">
        <v>91</v>
      </c>
      <c r="V250" s="2" t="s">
        <v>91</v>
      </c>
      <c r="W250" s="2" t="s">
        <v>91</v>
      </c>
      <c r="X250" s="2" t="s">
        <v>91</v>
      </c>
      <c r="Y250" s="2" t="s">
        <v>91</v>
      </c>
      <c r="Z250" s="2" t="s">
        <v>91</v>
      </c>
      <c r="AA250" s="2" t="s">
        <v>91</v>
      </c>
      <c r="AB250" s="2" t="s">
        <v>91</v>
      </c>
      <c r="AC250" s="2" t="s">
        <v>91</v>
      </c>
      <c r="AD250" s="2" t="s">
        <v>91</v>
      </c>
      <c r="AE250" s="2" t="s">
        <v>91</v>
      </c>
      <c r="AF250" s="2" t="s">
        <v>91</v>
      </c>
      <c r="AG250" s="2" t="s">
        <v>91</v>
      </c>
      <c r="AH250" s="2" t="s">
        <v>91</v>
      </c>
      <c r="AI250" s="2" t="s">
        <v>91</v>
      </c>
    </row>
    <row r="251" ht="16.5" hidden="1" spans="1:35">
      <c r="A251" s="2" t="s">
        <v>104</v>
      </c>
      <c r="B251" s="2" t="s">
        <v>106</v>
      </c>
      <c r="C251" s="4">
        <v>2</v>
      </c>
      <c r="D251" s="2" t="s">
        <v>74</v>
      </c>
      <c r="E251" s="6">
        <v>1</v>
      </c>
      <c r="F251" s="2" t="s">
        <v>91</v>
      </c>
      <c r="G251" s="2" t="s">
        <v>91</v>
      </c>
      <c r="H251" s="2" t="s">
        <v>91</v>
      </c>
      <c r="I251" s="2" t="s">
        <v>91</v>
      </c>
      <c r="J251" s="2" t="s">
        <v>91</v>
      </c>
      <c r="K251" s="2" t="s">
        <v>91</v>
      </c>
      <c r="L251" s="2" t="s">
        <v>91</v>
      </c>
      <c r="M251" s="2" t="s">
        <v>91</v>
      </c>
      <c r="N251" s="2" t="s">
        <v>91</v>
      </c>
      <c r="O251" s="2" t="s">
        <v>91</v>
      </c>
      <c r="P251" s="2" t="s">
        <v>91</v>
      </c>
      <c r="Q251" s="2" t="s">
        <v>91</v>
      </c>
      <c r="R251" s="2" t="s">
        <v>91</v>
      </c>
      <c r="S251" s="2" t="s">
        <v>91</v>
      </c>
      <c r="T251" s="2" t="s">
        <v>91</v>
      </c>
      <c r="U251" s="2" t="s">
        <v>91</v>
      </c>
      <c r="V251" s="2" t="s">
        <v>91</v>
      </c>
      <c r="W251" s="2" t="s">
        <v>91</v>
      </c>
      <c r="X251" s="2" t="s">
        <v>91</v>
      </c>
      <c r="Y251" s="2" t="s">
        <v>91</v>
      </c>
      <c r="Z251" s="2" t="s">
        <v>91</v>
      </c>
      <c r="AA251" s="2" t="s">
        <v>91</v>
      </c>
      <c r="AB251" s="2" t="s">
        <v>91</v>
      </c>
      <c r="AC251" s="2" t="s">
        <v>91</v>
      </c>
      <c r="AD251" s="2" t="s">
        <v>91</v>
      </c>
      <c r="AE251" s="2" t="s">
        <v>91</v>
      </c>
      <c r="AF251" s="2" t="s">
        <v>91</v>
      </c>
      <c r="AG251" s="2" t="s">
        <v>91</v>
      </c>
      <c r="AH251" s="2" t="s">
        <v>91</v>
      </c>
      <c r="AI251" s="2" t="s">
        <v>91</v>
      </c>
    </row>
    <row r="252" ht="16.5" hidden="1" spans="1:35">
      <c r="A252" s="2" t="s">
        <v>72</v>
      </c>
      <c r="B252" s="2" t="s">
        <v>107</v>
      </c>
      <c r="C252" s="4">
        <v>5825</v>
      </c>
      <c r="D252" s="2" t="s">
        <v>19</v>
      </c>
      <c r="E252" s="4">
        <v>5825</v>
      </c>
      <c r="F252" s="4">
        <v>2502</v>
      </c>
      <c r="G252" s="4">
        <v>1666</v>
      </c>
      <c r="H252" s="4">
        <v>1318</v>
      </c>
      <c r="I252" s="4">
        <v>1043</v>
      </c>
      <c r="J252" s="4">
        <v>866</v>
      </c>
      <c r="K252" s="4">
        <v>751</v>
      </c>
      <c r="L252" s="4">
        <v>655</v>
      </c>
      <c r="M252" s="4">
        <v>560</v>
      </c>
      <c r="N252" s="4">
        <v>488</v>
      </c>
      <c r="O252" s="4">
        <v>436</v>
      </c>
      <c r="P252" s="4">
        <v>378</v>
      </c>
      <c r="Q252" s="4">
        <v>377</v>
      </c>
      <c r="R252" s="4">
        <v>328</v>
      </c>
      <c r="S252" s="4">
        <v>294</v>
      </c>
      <c r="T252" s="4">
        <v>275</v>
      </c>
      <c r="U252" s="4">
        <v>261</v>
      </c>
      <c r="V252" s="4">
        <v>231</v>
      </c>
      <c r="W252" s="4">
        <v>212</v>
      </c>
      <c r="X252" s="4">
        <v>172</v>
      </c>
      <c r="Y252" s="4">
        <v>207</v>
      </c>
      <c r="Z252" s="4">
        <v>175</v>
      </c>
      <c r="AA252" s="4">
        <v>172</v>
      </c>
      <c r="AB252" s="4">
        <v>149</v>
      </c>
      <c r="AC252" s="4">
        <v>149</v>
      </c>
      <c r="AD252" s="4">
        <v>135</v>
      </c>
      <c r="AE252" s="4">
        <v>116</v>
      </c>
      <c r="AF252" s="4">
        <v>120</v>
      </c>
      <c r="AG252" s="4">
        <v>116</v>
      </c>
      <c r="AH252" s="4">
        <v>123</v>
      </c>
      <c r="AI252" s="4">
        <v>104</v>
      </c>
    </row>
    <row r="253" ht="16.5" hidden="1" spans="1:35">
      <c r="A253" s="2" t="s">
        <v>72</v>
      </c>
      <c r="B253" s="2" t="s">
        <v>107</v>
      </c>
      <c r="C253" s="4">
        <v>5825</v>
      </c>
      <c r="D253" s="2" t="s">
        <v>74</v>
      </c>
      <c r="E253" s="6">
        <v>1</v>
      </c>
      <c r="F253" s="5">
        <v>0.4295</v>
      </c>
      <c r="G253" s="5">
        <v>0.2861</v>
      </c>
      <c r="H253" s="5">
        <v>0.2264</v>
      </c>
      <c r="I253" s="5">
        <v>0.1792</v>
      </c>
      <c r="J253" s="5">
        <v>0.1488</v>
      </c>
      <c r="K253" s="5">
        <v>0.1291</v>
      </c>
      <c r="L253" s="5">
        <v>0.1126</v>
      </c>
      <c r="M253" s="5">
        <v>0.0963</v>
      </c>
      <c r="N253" s="5">
        <v>0.0839</v>
      </c>
      <c r="O253" s="5">
        <v>0.075</v>
      </c>
      <c r="P253" s="5">
        <v>0.0651</v>
      </c>
      <c r="Q253" s="5">
        <v>0.0649</v>
      </c>
      <c r="R253" s="5">
        <v>0.0565</v>
      </c>
      <c r="S253" s="5">
        <v>0.0506</v>
      </c>
      <c r="T253" s="5">
        <v>0.0474</v>
      </c>
      <c r="U253" s="5">
        <v>0.045</v>
      </c>
      <c r="V253" s="5">
        <v>0.0398</v>
      </c>
      <c r="W253" s="5">
        <v>0.0365</v>
      </c>
      <c r="X253" s="5">
        <v>0.0297</v>
      </c>
      <c r="Y253" s="5">
        <v>0.0357</v>
      </c>
      <c r="Z253" s="5">
        <v>0.0302</v>
      </c>
      <c r="AA253" s="5">
        <v>0.0297</v>
      </c>
      <c r="AB253" s="5">
        <v>0.0257</v>
      </c>
      <c r="AC253" s="5">
        <v>0.0257</v>
      </c>
      <c r="AD253" s="5">
        <v>0.0233</v>
      </c>
      <c r="AE253" s="5">
        <v>0.0201</v>
      </c>
      <c r="AF253" s="5">
        <v>0.0207</v>
      </c>
      <c r="AG253" s="5">
        <v>0.0201</v>
      </c>
      <c r="AH253" s="5">
        <v>0.0213</v>
      </c>
      <c r="AI253" s="5">
        <v>0.018</v>
      </c>
    </row>
    <row r="254" ht="16.5" hidden="1" spans="1:35">
      <c r="A254" s="2" t="s">
        <v>75</v>
      </c>
      <c r="B254" s="2" t="s">
        <v>107</v>
      </c>
      <c r="C254" s="4">
        <v>203</v>
      </c>
      <c r="D254" s="2" t="s">
        <v>19</v>
      </c>
      <c r="E254" s="4">
        <v>203</v>
      </c>
      <c r="F254" s="4">
        <v>68</v>
      </c>
      <c r="G254" s="4">
        <v>49</v>
      </c>
      <c r="H254" s="4">
        <v>42</v>
      </c>
      <c r="I254" s="4">
        <v>37</v>
      </c>
      <c r="J254" s="4">
        <v>28</v>
      </c>
      <c r="K254" s="4">
        <v>26</v>
      </c>
      <c r="L254" s="4">
        <v>28</v>
      </c>
      <c r="M254" s="4">
        <v>18</v>
      </c>
      <c r="N254" s="4">
        <v>16</v>
      </c>
      <c r="O254" s="4">
        <v>17</v>
      </c>
      <c r="P254" s="4">
        <v>10</v>
      </c>
      <c r="Q254" s="4">
        <v>17</v>
      </c>
      <c r="R254" s="4">
        <v>13</v>
      </c>
      <c r="S254" s="4">
        <v>9</v>
      </c>
      <c r="T254" s="4">
        <v>6</v>
      </c>
      <c r="U254" s="4">
        <v>9</v>
      </c>
      <c r="V254" s="4">
        <v>9</v>
      </c>
      <c r="W254" s="4">
        <v>11</v>
      </c>
      <c r="X254" s="4">
        <v>7</v>
      </c>
      <c r="Y254" s="4">
        <v>8</v>
      </c>
      <c r="Z254" s="4">
        <v>7</v>
      </c>
      <c r="AA254" s="4">
        <v>4</v>
      </c>
      <c r="AB254" s="4">
        <v>4</v>
      </c>
      <c r="AC254" s="4">
        <v>10</v>
      </c>
      <c r="AD254" s="4">
        <v>6</v>
      </c>
      <c r="AE254" s="4">
        <v>2</v>
      </c>
      <c r="AF254" s="4">
        <v>5</v>
      </c>
      <c r="AG254" s="4">
        <v>5</v>
      </c>
      <c r="AH254" s="4">
        <v>6</v>
      </c>
      <c r="AI254" s="4">
        <v>5</v>
      </c>
    </row>
    <row r="255" ht="16.5" hidden="1" spans="1:35">
      <c r="A255" s="2" t="s">
        <v>75</v>
      </c>
      <c r="B255" s="2" t="s">
        <v>107</v>
      </c>
      <c r="C255" s="4">
        <v>203</v>
      </c>
      <c r="D255" s="2" t="s">
        <v>74</v>
      </c>
      <c r="E255" s="6">
        <v>1</v>
      </c>
      <c r="F255" s="5">
        <v>0.335</v>
      </c>
      <c r="G255" s="5">
        <v>0.2414</v>
      </c>
      <c r="H255" s="5">
        <v>0.2069</v>
      </c>
      <c r="I255" s="5">
        <v>0.1823</v>
      </c>
      <c r="J255" s="5">
        <v>0.1379</v>
      </c>
      <c r="K255" s="5">
        <v>0.1281</v>
      </c>
      <c r="L255" s="5">
        <v>0.1379</v>
      </c>
      <c r="M255" s="5">
        <v>0.0887</v>
      </c>
      <c r="N255" s="5">
        <v>0.0788</v>
      </c>
      <c r="O255" s="5">
        <v>0.0837</v>
      </c>
      <c r="P255" s="5">
        <v>0.0493</v>
      </c>
      <c r="Q255" s="5">
        <v>0.0837</v>
      </c>
      <c r="R255" s="5">
        <v>0.064</v>
      </c>
      <c r="S255" s="5">
        <v>0.0443</v>
      </c>
      <c r="T255" s="5">
        <v>0.0296</v>
      </c>
      <c r="U255" s="5">
        <v>0.0443</v>
      </c>
      <c r="V255" s="5">
        <v>0.0443</v>
      </c>
      <c r="W255" s="5">
        <v>0.0542</v>
      </c>
      <c r="X255" s="5">
        <v>0.0345</v>
      </c>
      <c r="Y255" s="5">
        <v>0.0394</v>
      </c>
      <c r="Z255" s="5">
        <v>0.0345</v>
      </c>
      <c r="AA255" s="5">
        <v>0.0197</v>
      </c>
      <c r="AB255" s="5">
        <v>0.0197</v>
      </c>
      <c r="AC255" s="5">
        <v>0.0493</v>
      </c>
      <c r="AD255" s="5">
        <v>0.0296</v>
      </c>
      <c r="AE255" s="5">
        <v>0.0099</v>
      </c>
      <c r="AF255" s="5">
        <v>0.0246</v>
      </c>
      <c r="AG255" s="5">
        <v>0.0246</v>
      </c>
      <c r="AH255" s="5">
        <v>0.0296</v>
      </c>
      <c r="AI255" s="5">
        <v>0.0246</v>
      </c>
    </row>
    <row r="256" ht="16.5" hidden="1" spans="1:35">
      <c r="A256" s="2" t="s">
        <v>76</v>
      </c>
      <c r="B256" s="2" t="s">
        <v>107</v>
      </c>
      <c r="C256" s="4">
        <v>239</v>
      </c>
      <c r="D256" s="2" t="s">
        <v>19</v>
      </c>
      <c r="E256" s="4">
        <v>239</v>
      </c>
      <c r="F256" s="4">
        <v>114</v>
      </c>
      <c r="G256" s="4">
        <v>87</v>
      </c>
      <c r="H256" s="4">
        <v>53</v>
      </c>
      <c r="I256" s="4">
        <v>43</v>
      </c>
      <c r="J256" s="4">
        <v>36</v>
      </c>
      <c r="K256" s="4">
        <v>34</v>
      </c>
      <c r="L256" s="4">
        <v>24</v>
      </c>
      <c r="M256" s="4">
        <v>25</v>
      </c>
      <c r="N256" s="4">
        <v>17</v>
      </c>
      <c r="O256" s="4">
        <v>19</v>
      </c>
      <c r="P256" s="4">
        <v>17</v>
      </c>
      <c r="Q256" s="4">
        <v>15</v>
      </c>
      <c r="R256" s="4">
        <v>16</v>
      </c>
      <c r="S256" s="4">
        <v>9</v>
      </c>
      <c r="T256" s="4">
        <v>10</v>
      </c>
      <c r="U256" s="4">
        <v>9</v>
      </c>
      <c r="V256" s="4">
        <v>8</v>
      </c>
      <c r="W256" s="4">
        <v>7</v>
      </c>
      <c r="X256" s="4">
        <v>9</v>
      </c>
      <c r="Y256" s="4">
        <v>9</v>
      </c>
      <c r="Z256" s="4">
        <v>5</v>
      </c>
      <c r="AA256" s="4">
        <v>8</v>
      </c>
      <c r="AB256" s="4">
        <v>7</v>
      </c>
      <c r="AC256" s="4">
        <v>5</v>
      </c>
      <c r="AD256" s="4">
        <v>4</v>
      </c>
      <c r="AE256" s="4">
        <v>2</v>
      </c>
      <c r="AF256" s="4">
        <v>7</v>
      </c>
      <c r="AG256" s="4">
        <v>1</v>
      </c>
      <c r="AH256" s="4">
        <v>5</v>
      </c>
      <c r="AI256" s="4">
        <v>3</v>
      </c>
    </row>
    <row r="257" ht="16.5" hidden="1" spans="1:35">
      <c r="A257" s="2" t="s">
        <v>76</v>
      </c>
      <c r="B257" s="2" t="s">
        <v>107</v>
      </c>
      <c r="C257" s="4">
        <v>239</v>
      </c>
      <c r="D257" s="2" t="s">
        <v>74</v>
      </c>
      <c r="E257" s="6">
        <v>1</v>
      </c>
      <c r="F257" s="5">
        <v>0.477</v>
      </c>
      <c r="G257" s="5">
        <v>0.364</v>
      </c>
      <c r="H257" s="5">
        <v>0.2218</v>
      </c>
      <c r="I257" s="5">
        <v>0.1799</v>
      </c>
      <c r="J257" s="5">
        <v>0.1506</v>
      </c>
      <c r="K257" s="5">
        <v>0.1423</v>
      </c>
      <c r="L257" s="5">
        <v>0.1004</v>
      </c>
      <c r="M257" s="5">
        <v>0.1046</v>
      </c>
      <c r="N257" s="5">
        <v>0.0711</v>
      </c>
      <c r="O257" s="5">
        <v>0.0795</v>
      </c>
      <c r="P257" s="5">
        <v>0.0711</v>
      </c>
      <c r="Q257" s="5">
        <v>0.0628</v>
      </c>
      <c r="R257" s="5">
        <v>0.0669</v>
      </c>
      <c r="S257" s="5">
        <v>0.0377</v>
      </c>
      <c r="T257" s="5">
        <v>0.0418</v>
      </c>
      <c r="U257" s="5">
        <v>0.0377</v>
      </c>
      <c r="V257" s="5">
        <v>0.0335</v>
      </c>
      <c r="W257" s="5">
        <v>0.0293</v>
      </c>
      <c r="X257" s="5">
        <v>0.0377</v>
      </c>
      <c r="Y257" s="5">
        <v>0.0377</v>
      </c>
      <c r="Z257" s="5">
        <v>0.0209</v>
      </c>
      <c r="AA257" s="5">
        <v>0.0335</v>
      </c>
      <c r="AB257" s="5">
        <v>0.0293</v>
      </c>
      <c r="AC257" s="5">
        <v>0.0209</v>
      </c>
      <c r="AD257" s="5">
        <v>0.0167</v>
      </c>
      <c r="AE257" s="5">
        <v>0.0084</v>
      </c>
      <c r="AF257" s="5">
        <v>0.0293</v>
      </c>
      <c r="AG257" s="5">
        <v>0.0042</v>
      </c>
      <c r="AH257" s="5">
        <v>0.0209</v>
      </c>
      <c r="AI257" s="5">
        <v>0.0126</v>
      </c>
    </row>
    <row r="258" ht="16.5" hidden="1" spans="1:35">
      <c r="A258" s="2" t="s">
        <v>77</v>
      </c>
      <c r="B258" s="2" t="s">
        <v>107</v>
      </c>
      <c r="C258" s="4">
        <v>399</v>
      </c>
      <c r="D258" s="2" t="s">
        <v>19</v>
      </c>
      <c r="E258" s="4">
        <v>399</v>
      </c>
      <c r="F258" s="4">
        <v>177</v>
      </c>
      <c r="G258" s="4">
        <v>114</v>
      </c>
      <c r="H258" s="4">
        <v>86</v>
      </c>
      <c r="I258" s="4">
        <v>68</v>
      </c>
      <c r="J258" s="4">
        <v>55</v>
      </c>
      <c r="K258" s="4">
        <v>55</v>
      </c>
      <c r="L258" s="4">
        <v>49</v>
      </c>
      <c r="M258" s="4">
        <v>36</v>
      </c>
      <c r="N258" s="4">
        <v>36</v>
      </c>
      <c r="O258" s="4">
        <v>26</v>
      </c>
      <c r="P258" s="4">
        <v>20</v>
      </c>
      <c r="Q258" s="4">
        <v>21</v>
      </c>
      <c r="R258" s="4">
        <v>18</v>
      </c>
      <c r="S258" s="4">
        <v>22</v>
      </c>
      <c r="T258" s="4">
        <v>13</v>
      </c>
      <c r="U258" s="4">
        <v>12</v>
      </c>
      <c r="V258" s="4">
        <v>11</v>
      </c>
      <c r="W258" s="4">
        <v>11</v>
      </c>
      <c r="X258" s="4">
        <v>11</v>
      </c>
      <c r="Y258" s="4">
        <v>9</v>
      </c>
      <c r="Z258" s="4">
        <v>10</v>
      </c>
      <c r="AA258" s="4">
        <v>10</v>
      </c>
      <c r="AB258" s="4">
        <v>9</v>
      </c>
      <c r="AC258" s="4">
        <v>10</v>
      </c>
      <c r="AD258" s="4">
        <v>7</v>
      </c>
      <c r="AE258" s="4">
        <v>6</v>
      </c>
      <c r="AF258" s="4">
        <v>8</v>
      </c>
      <c r="AG258" s="4">
        <v>7</v>
      </c>
      <c r="AH258" s="4">
        <v>7</v>
      </c>
      <c r="AI258" s="4">
        <v>6</v>
      </c>
    </row>
    <row r="259" ht="16.5" hidden="1" spans="1:35">
      <c r="A259" s="2" t="s">
        <v>77</v>
      </c>
      <c r="B259" s="2" t="s">
        <v>107</v>
      </c>
      <c r="C259" s="4">
        <v>399</v>
      </c>
      <c r="D259" s="2" t="s">
        <v>74</v>
      </c>
      <c r="E259" s="6">
        <v>1</v>
      </c>
      <c r="F259" s="5">
        <v>0.4436</v>
      </c>
      <c r="G259" s="5">
        <v>0.2857</v>
      </c>
      <c r="H259" s="5">
        <v>0.2155</v>
      </c>
      <c r="I259" s="5">
        <v>0.1704</v>
      </c>
      <c r="J259" s="5">
        <v>0.1378</v>
      </c>
      <c r="K259" s="5">
        <v>0.1378</v>
      </c>
      <c r="L259" s="5">
        <v>0.1228</v>
      </c>
      <c r="M259" s="5">
        <v>0.0902</v>
      </c>
      <c r="N259" s="5">
        <v>0.0902</v>
      </c>
      <c r="O259" s="5">
        <v>0.0652</v>
      </c>
      <c r="P259" s="5">
        <v>0.0501</v>
      </c>
      <c r="Q259" s="5">
        <v>0.0526</v>
      </c>
      <c r="R259" s="5">
        <v>0.0451</v>
      </c>
      <c r="S259" s="5">
        <v>0.0551</v>
      </c>
      <c r="T259" s="5">
        <v>0.0326</v>
      </c>
      <c r="U259" s="5">
        <v>0.0301</v>
      </c>
      <c r="V259" s="5">
        <v>0.0276</v>
      </c>
      <c r="W259" s="5">
        <v>0.0276</v>
      </c>
      <c r="X259" s="5">
        <v>0.0276</v>
      </c>
      <c r="Y259" s="5">
        <v>0.0226</v>
      </c>
      <c r="Z259" s="5">
        <v>0.0251</v>
      </c>
      <c r="AA259" s="5">
        <v>0.0251</v>
      </c>
      <c r="AB259" s="5">
        <v>0.0226</v>
      </c>
      <c r="AC259" s="5">
        <v>0.0251</v>
      </c>
      <c r="AD259" s="5">
        <v>0.0175</v>
      </c>
      <c r="AE259" s="5">
        <v>0.015</v>
      </c>
      <c r="AF259" s="5">
        <v>0.0201</v>
      </c>
      <c r="AG259" s="5">
        <v>0.0175</v>
      </c>
      <c r="AH259" s="5">
        <v>0.0175</v>
      </c>
      <c r="AI259" s="5">
        <v>0.015</v>
      </c>
    </row>
    <row r="260" ht="16.5" hidden="1" spans="1:35">
      <c r="A260" s="2" t="s">
        <v>78</v>
      </c>
      <c r="B260" s="2" t="s">
        <v>107</v>
      </c>
      <c r="C260" s="4">
        <v>611</v>
      </c>
      <c r="D260" s="2" t="s">
        <v>19</v>
      </c>
      <c r="E260" s="4">
        <v>611</v>
      </c>
      <c r="F260" s="4">
        <v>268</v>
      </c>
      <c r="G260" s="4">
        <v>186</v>
      </c>
      <c r="H260" s="4">
        <v>144</v>
      </c>
      <c r="I260" s="4">
        <v>118</v>
      </c>
      <c r="J260" s="4">
        <v>106</v>
      </c>
      <c r="K260" s="4">
        <v>87</v>
      </c>
      <c r="L260" s="4">
        <v>76</v>
      </c>
      <c r="M260" s="4">
        <v>61</v>
      </c>
      <c r="N260" s="4">
        <v>50</v>
      </c>
      <c r="O260" s="4">
        <v>46</v>
      </c>
      <c r="P260" s="4">
        <v>40</v>
      </c>
      <c r="Q260" s="4">
        <v>32</v>
      </c>
      <c r="R260" s="4">
        <v>32</v>
      </c>
      <c r="S260" s="4">
        <v>34</v>
      </c>
      <c r="T260" s="4">
        <v>27</v>
      </c>
      <c r="U260" s="4">
        <v>30</v>
      </c>
      <c r="V260" s="4">
        <v>27</v>
      </c>
      <c r="W260" s="4">
        <v>26</v>
      </c>
      <c r="X260" s="4">
        <v>22</v>
      </c>
      <c r="Y260" s="4">
        <v>22</v>
      </c>
      <c r="Z260" s="4">
        <v>15</v>
      </c>
      <c r="AA260" s="4">
        <v>17</v>
      </c>
      <c r="AB260" s="4">
        <v>13</v>
      </c>
      <c r="AC260" s="4">
        <v>20</v>
      </c>
      <c r="AD260" s="4">
        <v>17</v>
      </c>
      <c r="AE260" s="4">
        <v>15</v>
      </c>
      <c r="AF260" s="4">
        <v>12</v>
      </c>
      <c r="AG260" s="4">
        <v>9</v>
      </c>
      <c r="AH260" s="4">
        <v>15</v>
      </c>
      <c r="AI260" s="4">
        <v>9</v>
      </c>
    </row>
    <row r="261" ht="16.5" hidden="1" spans="1:35">
      <c r="A261" s="2" t="s">
        <v>78</v>
      </c>
      <c r="B261" s="2" t="s">
        <v>107</v>
      </c>
      <c r="C261" s="4">
        <v>611</v>
      </c>
      <c r="D261" s="2" t="s">
        <v>74</v>
      </c>
      <c r="E261" s="6">
        <v>1</v>
      </c>
      <c r="F261" s="5">
        <v>0.4386</v>
      </c>
      <c r="G261" s="5">
        <v>0.3044</v>
      </c>
      <c r="H261" s="5">
        <v>0.2357</v>
      </c>
      <c r="I261" s="5">
        <v>0.1931</v>
      </c>
      <c r="J261" s="5">
        <v>0.1735</v>
      </c>
      <c r="K261" s="5">
        <v>0.1424</v>
      </c>
      <c r="L261" s="5">
        <v>0.1244</v>
      </c>
      <c r="M261" s="5">
        <v>0.0998</v>
      </c>
      <c r="N261" s="5">
        <v>0.0818</v>
      </c>
      <c r="O261" s="5">
        <v>0.0753</v>
      </c>
      <c r="P261" s="5">
        <v>0.0655</v>
      </c>
      <c r="Q261" s="5">
        <v>0.0524</v>
      </c>
      <c r="R261" s="5">
        <v>0.0524</v>
      </c>
      <c r="S261" s="5">
        <v>0.0556</v>
      </c>
      <c r="T261" s="5">
        <v>0.0442</v>
      </c>
      <c r="U261" s="5">
        <v>0.0491</v>
      </c>
      <c r="V261" s="5">
        <v>0.0442</v>
      </c>
      <c r="W261" s="5">
        <v>0.0426</v>
      </c>
      <c r="X261" s="5">
        <v>0.036</v>
      </c>
      <c r="Y261" s="5">
        <v>0.036</v>
      </c>
      <c r="Z261" s="5">
        <v>0.0245</v>
      </c>
      <c r="AA261" s="5">
        <v>0.0278</v>
      </c>
      <c r="AB261" s="5">
        <v>0.0213</v>
      </c>
      <c r="AC261" s="5">
        <v>0.0327</v>
      </c>
      <c r="AD261" s="5">
        <v>0.0278</v>
      </c>
      <c r="AE261" s="5">
        <v>0.0245</v>
      </c>
      <c r="AF261" s="5">
        <v>0.0196</v>
      </c>
      <c r="AG261" s="5">
        <v>0.0147</v>
      </c>
      <c r="AH261" s="5">
        <v>0.0245</v>
      </c>
      <c r="AI261" s="5">
        <v>0.0147</v>
      </c>
    </row>
    <row r="262" ht="16.5" hidden="1" spans="1:35">
      <c r="A262" s="2" t="s">
        <v>79</v>
      </c>
      <c r="B262" s="2" t="s">
        <v>107</v>
      </c>
      <c r="C262" s="4">
        <v>560</v>
      </c>
      <c r="D262" s="2" t="s">
        <v>19</v>
      </c>
      <c r="E262" s="4">
        <v>560</v>
      </c>
      <c r="F262" s="4">
        <v>253</v>
      </c>
      <c r="G262" s="4">
        <v>160</v>
      </c>
      <c r="H262" s="4">
        <v>130</v>
      </c>
      <c r="I262" s="4">
        <v>104</v>
      </c>
      <c r="J262" s="4">
        <v>78</v>
      </c>
      <c r="K262" s="4">
        <v>65</v>
      </c>
      <c r="L262" s="4">
        <v>61</v>
      </c>
      <c r="M262" s="4">
        <v>43</v>
      </c>
      <c r="N262" s="4">
        <v>50</v>
      </c>
      <c r="O262" s="4">
        <v>41</v>
      </c>
      <c r="P262" s="4">
        <v>43</v>
      </c>
      <c r="Q262" s="4">
        <v>38</v>
      </c>
      <c r="R262" s="4">
        <v>25</v>
      </c>
      <c r="S262" s="4">
        <v>21</v>
      </c>
      <c r="T262" s="4">
        <v>23</v>
      </c>
      <c r="U262" s="4">
        <v>22</v>
      </c>
      <c r="V262" s="4">
        <v>13</v>
      </c>
      <c r="W262" s="4">
        <v>19</v>
      </c>
      <c r="X262" s="4">
        <v>12</v>
      </c>
      <c r="Y262" s="4">
        <v>21</v>
      </c>
      <c r="Z262" s="4">
        <v>13</v>
      </c>
      <c r="AA262" s="4">
        <v>11</v>
      </c>
      <c r="AB262" s="4">
        <v>8</v>
      </c>
      <c r="AC262" s="4">
        <v>11</v>
      </c>
      <c r="AD262" s="4">
        <v>7</v>
      </c>
      <c r="AE262" s="4">
        <v>9</v>
      </c>
      <c r="AF262" s="4">
        <v>5</v>
      </c>
      <c r="AG262" s="4">
        <v>7</v>
      </c>
      <c r="AH262" s="4">
        <v>10</v>
      </c>
      <c r="AI262" s="4">
        <v>10</v>
      </c>
    </row>
    <row r="263" ht="16.5" hidden="1" spans="1:35">
      <c r="A263" s="2" t="s">
        <v>79</v>
      </c>
      <c r="B263" s="2" t="s">
        <v>107</v>
      </c>
      <c r="C263" s="4">
        <v>560</v>
      </c>
      <c r="D263" s="2" t="s">
        <v>74</v>
      </c>
      <c r="E263" s="6">
        <v>1</v>
      </c>
      <c r="F263" s="5">
        <v>0.4518</v>
      </c>
      <c r="G263" s="5">
        <v>0.2857</v>
      </c>
      <c r="H263" s="5">
        <v>0.2321</v>
      </c>
      <c r="I263" s="5">
        <v>0.1857</v>
      </c>
      <c r="J263" s="5">
        <v>0.1393</v>
      </c>
      <c r="K263" s="5">
        <v>0.1161</v>
      </c>
      <c r="L263" s="5">
        <v>0.1089</v>
      </c>
      <c r="M263" s="5">
        <v>0.0768</v>
      </c>
      <c r="N263" s="5">
        <v>0.0893</v>
      </c>
      <c r="O263" s="5">
        <v>0.0732</v>
      </c>
      <c r="P263" s="5">
        <v>0.0768</v>
      </c>
      <c r="Q263" s="5">
        <v>0.0679</v>
      </c>
      <c r="R263" s="5">
        <v>0.0446</v>
      </c>
      <c r="S263" s="5">
        <v>0.0375</v>
      </c>
      <c r="T263" s="5">
        <v>0.0411</v>
      </c>
      <c r="U263" s="5">
        <v>0.0393</v>
      </c>
      <c r="V263" s="5">
        <v>0.0232</v>
      </c>
      <c r="W263" s="5">
        <v>0.0339</v>
      </c>
      <c r="X263" s="5">
        <v>0.0214</v>
      </c>
      <c r="Y263" s="5">
        <v>0.0375</v>
      </c>
      <c r="Z263" s="5">
        <v>0.0232</v>
      </c>
      <c r="AA263" s="5">
        <v>0.0196</v>
      </c>
      <c r="AB263" s="5">
        <v>0.0143</v>
      </c>
      <c r="AC263" s="5">
        <v>0.0196</v>
      </c>
      <c r="AD263" s="5">
        <v>0.0125</v>
      </c>
      <c r="AE263" s="5">
        <v>0.0161</v>
      </c>
      <c r="AF263" s="5">
        <v>0.0089</v>
      </c>
      <c r="AG263" s="5">
        <v>0.0125</v>
      </c>
      <c r="AH263" s="5">
        <v>0.0179</v>
      </c>
      <c r="AI263" s="5">
        <v>0.0179</v>
      </c>
    </row>
    <row r="264" ht="16.5" hidden="1" spans="1:35">
      <c r="A264" s="2" t="s">
        <v>80</v>
      </c>
      <c r="B264" s="2" t="s">
        <v>107</v>
      </c>
      <c r="C264" s="4">
        <v>533</v>
      </c>
      <c r="D264" s="2" t="s">
        <v>19</v>
      </c>
      <c r="E264" s="4">
        <v>533</v>
      </c>
      <c r="F264" s="4">
        <v>248</v>
      </c>
      <c r="G264" s="4">
        <v>163</v>
      </c>
      <c r="H264" s="4">
        <v>143</v>
      </c>
      <c r="I264" s="4">
        <v>110</v>
      </c>
      <c r="J264" s="4">
        <v>87</v>
      </c>
      <c r="K264" s="4">
        <v>64</v>
      </c>
      <c r="L264" s="4">
        <v>68</v>
      </c>
      <c r="M264" s="4">
        <v>57</v>
      </c>
      <c r="N264" s="4">
        <v>47</v>
      </c>
      <c r="O264" s="4">
        <v>47</v>
      </c>
      <c r="P264" s="4">
        <v>35</v>
      </c>
      <c r="Q264" s="4">
        <v>28</v>
      </c>
      <c r="R264" s="4">
        <v>27</v>
      </c>
      <c r="S264" s="4">
        <v>34</v>
      </c>
      <c r="T264" s="4">
        <v>34</v>
      </c>
      <c r="U264" s="4">
        <v>23</v>
      </c>
      <c r="V264" s="4">
        <v>27</v>
      </c>
      <c r="W264" s="4">
        <v>23</v>
      </c>
      <c r="X264" s="4">
        <v>13</v>
      </c>
      <c r="Y264" s="4">
        <v>17</v>
      </c>
      <c r="Z264" s="4">
        <v>15</v>
      </c>
      <c r="AA264" s="4">
        <v>22</v>
      </c>
      <c r="AB264" s="4">
        <v>11</v>
      </c>
      <c r="AC264" s="4">
        <v>7</v>
      </c>
      <c r="AD264" s="4">
        <v>9</v>
      </c>
      <c r="AE264" s="4">
        <v>8</v>
      </c>
      <c r="AF264" s="4">
        <v>12</v>
      </c>
      <c r="AG264" s="4">
        <v>13</v>
      </c>
      <c r="AH264" s="4">
        <v>10</v>
      </c>
      <c r="AI264" s="4">
        <v>9</v>
      </c>
    </row>
    <row r="265" ht="16.5" hidden="1" spans="1:35">
      <c r="A265" s="2" t="s">
        <v>80</v>
      </c>
      <c r="B265" s="2" t="s">
        <v>107</v>
      </c>
      <c r="C265" s="4">
        <v>533</v>
      </c>
      <c r="D265" s="2" t="s">
        <v>74</v>
      </c>
      <c r="E265" s="6">
        <v>1</v>
      </c>
      <c r="F265" s="5">
        <v>0.4653</v>
      </c>
      <c r="G265" s="5">
        <v>0.3058</v>
      </c>
      <c r="H265" s="5">
        <v>0.2683</v>
      </c>
      <c r="I265" s="5">
        <v>0.2064</v>
      </c>
      <c r="J265" s="5">
        <v>0.1632</v>
      </c>
      <c r="K265" s="5">
        <v>0.1201</v>
      </c>
      <c r="L265" s="5">
        <v>0.1276</v>
      </c>
      <c r="M265" s="5">
        <v>0.1069</v>
      </c>
      <c r="N265" s="5">
        <v>0.0882</v>
      </c>
      <c r="O265" s="5">
        <v>0.0882</v>
      </c>
      <c r="P265" s="5">
        <v>0.0657</v>
      </c>
      <c r="Q265" s="5">
        <v>0.0525</v>
      </c>
      <c r="R265" s="5">
        <v>0.0507</v>
      </c>
      <c r="S265" s="5">
        <v>0.0638</v>
      </c>
      <c r="T265" s="5">
        <v>0.0638</v>
      </c>
      <c r="U265" s="5">
        <v>0.0432</v>
      </c>
      <c r="V265" s="5">
        <v>0.0507</v>
      </c>
      <c r="W265" s="5">
        <v>0.0432</v>
      </c>
      <c r="X265" s="5">
        <v>0.0244</v>
      </c>
      <c r="Y265" s="5">
        <v>0.0319</v>
      </c>
      <c r="Z265" s="5">
        <v>0.0281</v>
      </c>
      <c r="AA265" s="5">
        <v>0.0413</v>
      </c>
      <c r="AB265" s="5">
        <v>0.0206</v>
      </c>
      <c r="AC265" s="5">
        <v>0.0131</v>
      </c>
      <c r="AD265" s="5">
        <v>0.0169</v>
      </c>
      <c r="AE265" s="5">
        <v>0.015</v>
      </c>
      <c r="AF265" s="5">
        <v>0.0225</v>
      </c>
      <c r="AG265" s="5">
        <v>0.0244</v>
      </c>
      <c r="AH265" s="5">
        <v>0.0188</v>
      </c>
      <c r="AI265" s="5">
        <v>0.0169</v>
      </c>
    </row>
    <row r="266" ht="16.5" hidden="1" spans="1:35">
      <c r="A266" s="2" t="s">
        <v>81</v>
      </c>
      <c r="B266" s="2" t="s">
        <v>107</v>
      </c>
      <c r="C266" s="4">
        <v>525</v>
      </c>
      <c r="D266" s="2" t="s">
        <v>19</v>
      </c>
      <c r="E266" s="4">
        <v>525</v>
      </c>
      <c r="F266" s="4">
        <v>242</v>
      </c>
      <c r="G266" s="4">
        <v>158</v>
      </c>
      <c r="H266" s="4">
        <v>128</v>
      </c>
      <c r="I266" s="4">
        <v>108</v>
      </c>
      <c r="J266" s="4">
        <v>97</v>
      </c>
      <c r="K266" s="4">
        <v>80</v>
      </c>
      <c r="L266" s="4">
        <v>68</v>
      </c>
      <c r="M266" s="4">
        <v>54</v>
      </c>
      <c r="N266" s="4">
        <v>39</v>
      </c>
      <c r="O266" s="4">
        <v>44</v>
      </c>
      <c r="P266" s="4">
        <v>41</v>
      </c>
      <c r="Q266" s="4">
        <v>40</v>
      </c>
      <c r="R266" s="4">
        <v>35</v>
      </c>
      <c r="S266" s="4">
        <v>37</v>
      </c>
      <c r="T266" s="4">
        <v>37</v>
      </c>
      <c r="U266" s="4">
        <v>26</v>
      </c>
      <c r="V266" s="4">
        <v>17</v>
      </c>
      <c r="W266" s="4">
        <v>21</v>
      </c>
      <c r="X266" s="4">
        <v>17</v>
      </c>
      <c r="Y266" s="4">
        <v>21</v>
      </c>
      <c r="Z266" s="4">
        <v>19</v>
      </c>
      <c r="AA266" s="4">
        <v>21</v>
      </c>
      <c r="AB266" s="4">
        <v>20</v>
      </c>
      <c r="AC266" s="4">
        <v>20</v>
      </c>
      <c r="AD266" s="4">
        <v>22</v>
      </c>
      <c r="AE266" s="4">
        <v>18</v>
      </c>
      <c r="AF266" s="4">
        <v>14</v>
      </c>
      <c r="AG266" s="4">
        <v>14</v>
      </c>
      <c r="AH266" s="4">
        <v>12</v>
      </c>
      <c r="AI266" s="4">
        <v>8</v>
      </c>
    </row>
    <row r="267" ht="16.5" hidden="1" spans="1:35">
      <c r="A267" s="2" t="s">
        <v>81</v>
      </c>
      <c r="B267" s="2" t="s">
        <v>107</v>
      </c>
      <c r="C267" s="4">
        <v>525</v>
      </c>
      <c r="D267" s="2" t="s">
        <v>74</v>
      </c>
      <c r="E267" s="6">
        <v>1</v>
      </c>
      <c r="F267" s="5">
        <v>0.461</v>
      </c>
      <c r="G267" s="5">
        <v>0.301</v>
      </c>
      <c r="H267" s="5">
        <v>0.2438</v>
      </c>
      <c r="I267" s="5">
        <v>0.2057</v>
      </c>
      <c r="J267" s="5">
        <v>0.1848</v>
      </c>
      <c r="K267" s="5">
        <v>0.1524</v>
      </c>
      <c r="L267" s="5">
        <v>0.1295</v>
      </c>
      <c r="M267" s="5">
        <v>0.1029</v>
      </c>
      <c r="N267" s="5">
        <v>0.0743</v>
      </c>
      <c r="O267" s="5">
        <v>0.0838</v>
      </c>
      <c r="P267" s="5">
        <v>0.0781</v>
      </c>
      <c r="Q267" s="5">
        <v>0.0762</v>
      </c>
      <c r="R267" s="5">
        <v>0.0667</v>
      </c>
      <c r="S267" s="5">
        <v>0.0705</v>
      </c>
      <c r="T267" s="5">
        <v>0.0705</v>
      </c>
      <c r="U267" s="5">
        <v>0.0495</v>
      </c>
      <c r="V267" s="5">
        <v>0.0324</v>
      </c>
      <c r="W267" s="6">
        <v>0.04</v>
      </c>
      <c r="X267" s="5">
        <v>0.0324</v>
      </c>
      <c r="Y267" s="6">
        <v>0.04</v>
      </c>
      <c r="Z267" s="5">
        <v>0.0362</v>
      </c>
      <c r="AA267" s="6">
        <v>0.04</v>
      </c>
      <c r="AB267" s="5">
        <v>0.0381</v>
      </c>
      <c r="AC267" s="5">
        <v>0.0381</v>
      </c>
      <c r="AD267" s="5">
        <v>0.0419</v>
      </c>
      <c r="AE267" s="5">
        <v>0.0343</v>
      </c>
      <c r="AF267" s="5">
        <v>0.0267</v>
      </c>
      <c r="AG267" s="5">
        <v>0.0267</v>
      </c>
      <c r="AH267" s="5">
        <v>0.0229</v>
      </c>
      <c r="AI267" s="5">
        <v>0.0152</v>
      </c>
    </row>
    <row r="268" ht="16.5" hidden="1" spans="1:35">
      <c r="A268" s="2" t="s">
        <v>82</v>
      </c>
      <c r="B268" s="2" t="s">
        <v>107</v>
      </c>
      <c r="C268" s="4">
        <v>570</v>
      </c>
      <c r="D268" s="2" t="s">
        <v>19</v>
      </c>
      <c r="E268" s="4">
        <v>570</v>
      </c>
      <c r="F268" s="4">
        <v>270</v>
      </c>
      <c r="G268" s="4">
        <v>184</v>
      </c>
      <c r="H268" s="4">
        <v>141</v>
      </c>
      <c r="I268" s="4">
        <v>102</v>
      </c>
      <c r="J268" s="4">
        <v>80</v>
      </c>
      <c r="K268" s="4">
        <v>75</v>
      </c>
      <c r="L268" s="4">
        <v>66</v>
      </c>
      <c r="M268" s="4">
        <v>59</v>
      </c>
      <c r="N268" s="4">
        <v>51</v>
      </c>
      <c r="O268" s="4">
        <v>51</v>
      </c>
      <c r="P268" s="4">
        <v>40</v>
      </c>
      <c r="Q268" s="4">
        <v>42</v>
      </c>
      <c r="R268" s="4">
        <v>37</v>
      </c>
      <c r="S268" s="4">
        <v>34</v>
      </c>
      <c r="T268" s="4">
        <v>36</v>
      </c>
      <c r="U268" s="4">
        <v>31</v>
      </c>
      <c r="V268" s="4">
        <v>28</v>
      </c>
      <c r="W268" s="4">
        <v>24</v>
      </c>
      <c r="X268" s="4">
        <v>23</v>
      </c>
      <c r="Y268" s="4">
        <v>27</v>
      </c>
      <c r="Z268" s="4">
        <v>25</v>
      </c>
      <c r="AA268" s="4">
        <v>25</v>
      </c>
      <c r="AB268" s="4">
        <v>19</v>
      </c>
      <c r="AC268" s="4">
        <v>18</v>
      </c>
      <c r="AD268" s="4">
        <v>15</v>
      </c>
      <c r="AE268" s="4">
        <v>12</v>
      </c>
      <c r="AF268" s="4">
        <v>13</v>
      </c>
      <c r="AG268" s="4">
        <v>14</v>
      </c>
      <c r="AH268" s="4">
        <v>14</v>
      </c>
      <c r="AI268" s="4">
        <v>14</v>
      </c>
    </row>
    <row r="269" ht="16.5" hidden="1" spans="1:35">
      <c r="A269" s="2" t="s">
        <v>82</v>
      </c>
      <c r="B269" s="2" t="s">
        <v>107</v>
      </c>
      <c r="C269" s="4">
        <v>570</v>
      </c>
      <c r="D269" s="2" t="s">
        <v>74</v>
      </c>
      <c r="E269" s="6">
        <v>1</v>
      </c>
      <c r="F269" s="5">
        <v>0.4737</v>
      </c>
      <c r="G269" s="5">
        <v>0.3228</v>
      </c>
      <c r="H269" s="5">
        <v>0.2474</v>
      </c>
      <c r="I269" s="5">
        <v>0.1789</v>
      </c>
      <c r="J269" s="5">
        <v>0.1404</v>
      </c>
      <c r="K269" s="5">
        <v>0.1316</v>
      </c>
      <c r="L269" s="5">
        <v>0.1158</v>
      </c>
      <c r="M269" s="5">
        <v>0.1035</v>
      </c>
      <c r="N269" s="5">
        <v>0.0895</v>
      </c>
      <c r="O269" s="5">
        <v>0.0895</v>
      </c>
      <c r="P269" s="5">
        <v>0.0702</v>
      </c>
      <c r="Q269" s="5">
        <v>0.0737</v>
      </c>
      <c r="R269" s="5">
        <v>0.0649</v>
      </c>
      <c r="S269" s="5">
        <v>0.0596</v>
      </c>
      <c r="T269" s="5">
        <v>0.0632</v>
      </c>
      <c r="U269" s="5">
        <v>0.0544</v>
      </c>
      <c r="V269" s="5">
        <v>0.0491</v>
      </c>
      <c r="W269" s="5">
        <v>0.0421</v>
      </c>
      <c r="X269" s="5">
        <v>0.0404</v>
      </c>
      <c r="Y269" s="5">
        <v>0.0474</v>
      </c>
      <c r="Z269" s="5">
        <v>0.0439</v>
      </c>
      <c r="AA269" s="5">
        <v>0.0439</v>
      </c>
      <c r="AB269" s="5">
        <v>0.0333</v>
      </c>
      <c r="AC269" s="5">
        <v>0.0316</v>
      </c>
      <c r="AD269" s="5">
        <v>0.0263</v>
      </c>
      <c r="AE269" s="5">
        <v>0.0211</v>
      </c>
      <c r="AF269" s="5">
        <v>0.0228</v>
      </c>
      <c r="AG269" s="5">
        <v>0.0246</v>
      </c>
      <c r="AH269" s="5">
        <v>0.0246</v>
      </c>
      <c r="AI269" s="5">
        <v>0.0246</v>
      </c>
    </row>
    <row r="270" ht="16.5" hidden="1" spans="1:35">
      <c r="A270" s="2" t="s">
        <v>83</v>
      </c>
      <c r="B270" s="2" t="s">
        <v>107</v>
      </c>
      <c r="C270" s="4">
        <v>605</v>
      </c>
      <c r="D270" s="2" t="s">
        <v>19</v>
      </c>
      <c r="E270" s="4">
        <v>605</v>
      </c>
      <c r="F270" s="4">
        <v>256</v>
      </c>
      <c r="G270" s="4">
        <v>173</v>
      </c>
      <c r="H270" s="4">
        <v>141</v>
      </c>
      <c r="I270" s="4">
        <v>117</v>
      </c>
      <c r="J270" s="4">
        <v>81</v>
      </c>
      <c r="K270" s="4">
        <v>96</v>
      </c>
      <c r="L270" s="4">
        <v>67</v>
      </c>
      <c r="M270" s="4">
        <v>62</v>
      </c>
      <c r="N270" s="4">
        <v>63</v>
      </c>
      <c r="O270" s="4">
        <v>46</v>
      </c>
      <c r="P270" s="4">
        <v>46</v>
      </c>
      <c r="Q270" s="4">
        <v>48</v>
      </c>
      <c r="R270" s="4">
        <v>40</v>
      </c>
      <c r="S270" s="4">
        <v>25</v>
      </c>
      <c r="T270" s="4">
        <v>32</v>
      </c>
      <c r="U270" s="4">
        <v>43</v>
      </c>
      <c r="V270" s="4">
        <v>31</v>
      </c>
      <c r="W270" s="4">
        <v>25</v>
      </c>
      <c r="X270" s="4">
        <v>21</v>
      </c>
      <c r="Y270" s="4">
        <v>23</v>
      </c>
      <c r="Z270" s="4">
        <v>24</v>
      </c>
      <c r="AA270" s="4">
        <v>18</v>
      </c>
      <c r="AB270" s="4">
        <v>19</v>
      </c>
      <c r="AC270" s="4">
        <v>19</v>
      </c>
      <c r="AD270" s="4">
        <v>14</v>
      </c>
      <c r="AE270" s="4">
        <v>15</v>
      </c>
      <c r="AF270" s="4">
        <v>13</v>
      </c>
      <c r="AG270" s="4">
        <v>17</v>
      </c>
      <c r="AH270" s="4">
        <v>16</v>
      </c>
      <c r="AI270" s="4">
        <v>16</v>
      </c>
    </row>
    <row r="271" ht="16.5" hidden="1" spans="1:35">
      <c r="A271" s="2" t="s">
        <v>83</v>
      </c>
      <c r="B271" s="2" t="s">
        <v>107</v>
      </c>
      <c r="C271" s="4">
        <v>605</v>
      </c>
      <c r="D271" s="2" t="s">
        <v>74</v>
      </c>
      <c r="E271" s="6">
        <v>1</v>
      </c>
      <c r="F271" s="5">
        <v>0.4231</v>
      </c>
      <c r="G271" s="5">
        <v>0.286</v>
      </c>
      <c r="H271" s="5">
        <v>0.2331</v>
      </c>
      <c r="I271" s="5">
        <v>0.1934</v>
      </c>
      <c r="J271" s="5">
        <v>0.1339</v>
      </c>
      <c r="K271" s="5">
        <v>0.1587</v>
      </c>
      <c r="L271" s="5">
        <v>0.1107</v>
      </c>
      <c r="M271" s="5">
        <v>0.1025</v>
      </c>
      <c r="N271" s="5">
        <v>0.1041</v>
      </c>
      <c r="O271" s="5">
        <v>0.076</v>
      </c>
      <c r="P271" s="5">
        <v>0.076</v>
      </c>
      <c r="Q271" s="5">
        <v>0.0793</v>
      </c>
      <c r="R271" s="5">
        <v>0.0661</v>
      </c>
      <c r="S271" s="5">
        <v>0.0413</v>
      </c>
      <c r="T271" s="5">
        <v>0.0529</v>
      </c>
      <c r="U271" s="5">
        <v>0.0711</v>
      </c>
      <c r="V271" s="5">
        <v>0.0512</v>
      </c>
      <c r="W271" s="5">
        <v>0.0413</v>
      </c>
      <c r="X271" s="5">
        <v>0.0347</v>
      </c>
      <c r="Y271" s="5">
        <v>0.038</v>
      </c>
      <c r="Z271" s="5">
        <v>0.0397</v>
      </c>
      <c r="AA271" s="5">
        <v>0.0298</v>
      </c>
      <c r="AB271" s="5">
        <v>0.0314</v>
      </c>
      <c r="AC271" s="5">
        <v>0.0314</v>
      </c>
      <c r="AD271" s="5">
        <v>0.0231</v>
      </c>
      <c r="AE271" s="5">
        <v>0.0248</v>
      </c>
      <c r="AF271" s="5">
        <v>0.0215</v>
      </c>
      <c r="AG271" s="5">
        <v>0.0281</v>
      </c>
      <c r="AH271" s="5">
        <v>0.0264</v>
      </c>
      <c r="AI271" s="5">
        <v>0.0264</v>
      </c>
    </row>
    <row r="272" ht="16.5" hidden="1" spans="1:35">
      <c r="A272" s="2" t="s">
        <v>84</v>
      </c>
      <c r="B272" s="2" t="s">
        <v>107</v>
      </c>
      <c r="C272" s="4">
        <v>670</v>
      </c>
      <c r="D272" s="2" t="s">
        <v>19</v>
      </c>
      <c r="E272" s="4">
        <v>670</v>
      </c>
      <c r="F272" s="4">
        <v>260</v>
      </c>
      <c r="G272" s="4">
        <v>173</v>
      </c>
      <c r="H272" s="4">
        <v>139</v>
      </c>
      <c r="I272" s="4">
        <v>102</v>
      </c>
      <c r="J272" s="4">
        <v>94</v>
      </c>
      <c r="K272" s="4">
        <v>71</v>
      </c>
      <c r="L272" s="4">
        <v>62</v>
      </c>
      <c r="M272" s="4">
        <v>63</v>
      </c>
      <c r="N272" s="4">
        <v>48</v>
      </c>
      <c r="O272" s="4">
        <v>38</v>
      </c>
      <c r="P272" s="4">
        <v>34</v>
      </c>
      <c r="Q272" s="4">
        <v>42</v>
      </c>
      <c r="R272" s="4">
        <v>30</v>
      </c>
      <c r="S272" s="4">
        <v>28</v>
      </c>
      <c r="T272" s="4">
        <v>25</v>
      </c>
      <c r="U272" s="4">
        <v>27</v>
      </c>
      <c r="V272" s="4">
        <v>24</v>
      </c>
      <c r="W272" s="4">
        <v>16</v>
      </c>
      <c r="X272" s="4">
        <v>14</v>
      </c>
      <c r="Y272" s="4">
        <v>18</v>
      </c>
      <c r="Z272" s="4">
        <v>17</v>
      </c>
      <c r="AA272" s="4">
        <v>10</v>
      </c>
      <c r="AB272" s="4">
        <v>20</v>
      </c>
      <c r="AC272" s="4">
        <v>13</v>
      </c>
      <c r="AD272" s="4">
        <v>13</v>
      </c>
      <c r="AE272" s="4">
        <v>14</v>
      </c>
      <c r="AF272" s="4">
        <v>14</v>
      </c>
      <c r="AG272" s="4">
        <v>14</v>
      </c>
      <c r="AH272" s="4">
        <v>15</v>
      </c>
      <c r="AI272" s="4">
        <v>9</v>
      </c>
    </row>
    <row r="273" ht="16.5" hidden="1" spans="1:35">
      <c r="A273" s="2" t="s">
        <v>84</v>
      </c>
      <c r="B273" s="2" t="s">
        <v>107</v>
      </c>
      <c r="C273" s="4">
        <v>670</v>
      </c>
      <c r="D273" s="2" t="s">
        <v>74</v>
      </c>
      <c r="E273" s="6">
        <v>1</v>
      </c>
      <c r="F273" s="5">
        <v>0.3881</v>
      </c>
      <c r="G273" s="5">
        <v>0.2582</v>
      </c>
      <c r="H273" s="5">
        <v>0.2075</v>
      </c>
      <c r="I273" s="5">
        <v>0.1522</v>
      </c>
      <c r="J273" s="5">
        <v>0.1403</v>
      </c>
      <c r="K273" s="5">
        <v>0.106</v>
      </c>
      <c r="L273" s="5">
        <v>0.0925</v>
      </c>
      <c r="M273" s="5">
        <v>0.094</v>
      </c>
      <c r="N273" s="5">
        <v>0.0716</v>
      </c>
      <c r="O273" s="5">
        <v>0.0567</v>
      </c>
      <c r="P273" s="5">
        <v>0.0507</v>
      </c>
      <c r="Q273" s="5">
        <v>0.0627</v>
      </c>
      <c r="R273" s="5">
        <v>0.0448</v>
      </c>
      <c r="S273" s="5">
        <v>0.0418</v>
      </c>
      <c r="T273" s="5">
        <v>0.0373</v>
      </c>
      <c r="U273" s="5">
        <v>0.0403</v>
      </c>
      <c r="V273" s="5">
        <v>0.0358</v>
      </c>
      <c r="W273" s="5">
        <v>0.0239</v>
      </c>
      <c r="X273" s="5">
        <v>0.0209</v>
      </c>
      <c r="Y273" s="5">
        <v>0.0269</v>
      </c>
      <c r="Z273" s="5">
        <v>0.0254</v>
      </c>
      <c r="AA273" s="5">
        <v>0.0149</v>
      </c>
      <c r="AB273" s="5">
        <v>0.0299</v>
      </c>
      <c r="AC273" s="5">
        <v>0.0194</v>
      </c>
      <c r="AD273" s="5">
        <v>0.0194</v>
      </c>
      <c r="AE273" s="5">
        <v>0.0209</v>
      </c>
      <c r="AF273" s="5">
        <v>0.0209</v>
      </c>
      <c r="AG273" s="5">
        <v>0.0209</v>
      </c>
      <c r="AH273" s="5">
        <v>0.0224</v>
      </c>
      <c r="AI273" s="5">
        <v>0.0134</v>
      </c>
    </row>
    <row r="274" ht="16.5" hidden="1" spans="1:35">
      <c r="A274" s="2" t="s">
        <v>85</v>
      </c>
      <c r="B274" s="2" t="s">
        <v>107</v>
      </c>
      <c r="C274" s="4">
        <v>566</v>
      </c>
      <c r="D274" s="2" t="s">
        <v>19</v>
      </c>
      <c r="E274" s="4">
        <v>566</v>
      </c>
      <c r="F274" s="4">
        <v>238</v>
      </c>
      <c r="G274" s="4">
        <v>141</v>
      </c>
      <c r="H274" s="4">
        <v>106</v>
      </c>
      <c r="I274" s="4">
        <v>92</v>
      </c>
      <c r="J274" s="4">
        <v>81</v>
      </c>
      <c r="K274" s="4">
        <v>66</v>
      </c>
      <c r="L274" s="4">
        <v>53</v>
      </c>
      <c r="M274" s="4">
        <v>47</v>
      </c>
      <c r="N274" s="4">
        <v>48</v>
      </c>
      <c r="O274" s="4">
        <v>38</v>
      </c>
      <c r="P274" s="4">
        <v>35</v>
      </c>
      <c r="Q274" s="4">
        <v>34</v>
      </c>
      <c r="R274" s="4">
        <v>30</v>
      </c>
      <c r="S274" s="4">
        <v>25</v>
      </c>
      <c r="T274" s="4">
        <v>20</v>
      </c>
      <c r="U274" s="4">
        <v>20</v>
      </c>
      <c r="V274" s="4">
        <v>24</v>
      </c>
      <c r="W274" s="4">
        <v>18</v>
      </c>
      <c r="X274" s="4">
        <v>13</v>
      </c>
      <c r="Y274" s="4">
        <v>19</v>
      </c>
      <c r="Z274" s="4">
        <v>16</v>
      </c>
      <c r="AA274" s="4">
        <v>17</v>
      </c>
      <c r="AB274" s="4">
        <v>11</v>
      </c>
      <c r="AC274" s="4">
        <v>9</v>
      </c>
      <c r="AD274" s="4">
        <v>15</v>
      </c>
      <c r="AE274" s="4">
        <v>10</v>
      </c>
      <c r="AF274" s="4">
        <v>13</v>
      </c>
      <c r="AG274" s="4">
        <v>10</v>
      </c>
      <c r="AH274" s="4">
        <v>9</v>
      </c>
      <c r="AI274" s="4">
        <v>9</v>
      </c>
    </row>
    <row r="275" ht="16.5" hidden="1" spans="1:35">
      <c r="A275" s="2" t="s">
        <v>85</v>
      </c>
      <c r="B275" s="2" t="s">
        <v>107</v>
      </c>
      <c r="C275" s="4">
        <v>566</v>
      </c>
      <c r="D275" s="2" t="s">
        <v>74</v>
      </c>
      <c r="E275" s="6">
        <v>1</v>
      </c>
      <c r="F275" s="5">
        <v>0.4205</v>
      </c>
      <c r="G275" s="5">
        <v>0.2491</v>
      </c>
      <c r="H275" s="5">
        <v>0.1873</v>
      </c>
      <c r="I275" s="5">
        <v>0.1625</v>
      </c>
      <c r="J275" s="5">
        <v>0.1431</v>
      </c>
      <c r="K275" s="5">
        <v>0.1166</v>
      </c>
      <c r="L275" s="5">
        <v>0.0936</v>
      </c>
      <c r="M275" s="5">
        <v>0.083</v>
      </c>
      <c r="N275" s="5">
        <v>0.0848</v>
      </c>
      <c r="O275" s="5">
        <v>0.0671</v>
      </c>
      <c r="P275" s="5">
        <v>0.0618</v>
      </c>
      <c r="Q275" s="5">
        <v>0.0601</v>
      </c>
      <c r="R275" s="5">
        <v>0.053</v>
      </c>
      <c r="S275" s="5">
        <v>0.0442</v>
      </c>
      <c r="T275" s="5">
        <v>0.0353</v>
      </c>
      <c r="U275" s="5">
        <v>0.0353</v>
      </c>
      <c r="V275" s="5">
        <v>0.0424</v>
      </c>
      <c r="W275" s="5">
        <v>0.0318</v>
      </c>
      <c r="X275" s="5">
        <v>0.023</v>
      </c>
      <c r="Y275" s="5">
        <v>0.0336</v>
      </c>
      <c r="Z275" s="5">
        <v>0.0283</v>
      </c>
      <c r="AA275" s="6">
        <v>0.03</v>
      </c>
      <c r="AB275" s="5">
        <v>0.0194</v>
      </c>
      <c r="AC275" s="5">
        <v>0.0159</v>
      </c>
      <c r="AD275" s="5">
        <v>0.0265</v>
      </c>
      <c r="AE275" s="5">
        <v>0.0177</v>
      </c>
      <c r="AF275" s="5">
        <v>0.023</v>
      </c>
      <c r="AG275" s="5">
        <v>0.0177</v>
      </c>
      <c r="AH275" s="5">
        <v>0.0159</v>
      </c>
      <c r="AI275" s="5">
        <v>0.0159</v>
      </c>
    </row>
    <row r="276" ht="16.5" hidden="1" spans="1:35">
      <c r="A276" s="2" t="s">
        <v>86</v>
      </c>
      <c r="B276" s="2" t="s">
        <v>107</v>
      </c>
      <c r="C276" s="4">
        <v>267</v>
      </c>
      <c r="D276" s="2" t="s">
        <v>19</v>
      </c>
      <c r="E276" s="4">
        <v>267</v>
      </c>
      <c r="F276" s="4">
        <v>81</v>
      </c>
      <c r="G276" s="4">
        <v>59</v>
      </c>
      <c r="H276" s="4">
        <v>52</v>
      </c>
      <c r="I276" s="4">
        <v>31</v>
      </c>
      <c r="J276" s="4">
        <v>30</v>
      </c>
      <c r="K276" s="4">
        <v>22</v>
      </c>
      <c r="L276" s="4">
        <v>21</v>
      </c>
      <c r="M276" s="4">
        <v>21</v>
      </c>
      <c r="N276" s="4">
        <v>16</v>
      </c>
      <c r="O276" s="4">
        <v>14</v>
      </c>
      <c r="P276" s="4">
        <v>9</v>
      </c>
      <c r="Q276" s="4">
        <v>9</v>
      </c>
      <c r="R276" s="4">
        <v>17</v>
      </c>
      <c r="S276" s="4">
        <v>10</v>
      </c>
      <c r="T276" s="4">
        <v>9</v>
      </c>
      <c r="U276" s="4">
        <v>7</v>
      </c>
      <c r="V276" s="4">
        <v>9</v>
      </c>
      <c r="W276" s="4">
        <v>5</v>
      </c>
      <c r="X276" s="4">
        <v>5</v>
      </c>
      <c r="Y276" s="4">
        <v>9</v>
      </c>
      <c r="Z276" s="4">
        <v>6</v>
      </c>
      <c r="AA276" s="4">
        <v>8</v>
      </c>
      <c r="AB276" s="4">
        <v>7</v>
      </c>
      <c r="AC276" s="4">
        <v>7</v>
      </c>
      <c r="AD276" s="4">
        <v>4</v>
      </c>
      <c r="AE276" s="4">
        <v>5</v>
      </c>
      <c r="AF276" s="4">
        <v>4</v>
      </c>
      <c r="AG276" s="4">
        <v>5</v>
      </c>
      <c r="AH276" s="4">
        <v>3</v>
      </c>
      <c r="AI276" s="4">
        <v>5</v>
      </c>
    </row>
    <row r="277" ht="16.5" hidden="1" spans="1:35">
      <c r="A277" s="2" t="s">
        <v>86</v>
      </c>
      <c r="B277" s="2" t="s">
        <v>107</v>
      </c>
      <c r="C277" s="4">
        <v>267</v>
      </c>
      <c r="D277" s="2" t="s">
        <v>74</v>
      </c>
      <c r="E277" s="6">
        <v>1</v>
      </c>
      <c r="F277" s="5">
        <v>0.3034</v>
      </c>
      <c r="G277" s="5">
        <v>0.221</v>
      </c>
      <c r="H277" s="5">
        <v>0.1948</v>
      </c>
      <c r="I277" s="5">
        <v>0.1161</v>
      </c>
      <c r="J277" s="5">
        <v>0.1124</v>
      </c>
      <c r="K277" s="5">
        <v>0.0824</v>
      </c>
      <c r="L277" s="5">
        <v>0.0787</v>
      </c>
      <c r="M277" s="5">
        <v>0.0787</v>
      </c>
      <c r="N277" s="5">
        <v>0.0599</v>
      </c>
      <c r="O277" s="5">
        <v>0.0524</v>
      </c>
      <c r="P277" s="5">
        <v>0.0337</v>
      </c>
      <c r="Q277" s="5">
        <v>0.0337</v>
      </c>
      <c r="R277" s="5">
        <v>0.0637</v>
      </c>
      <c r="S277" s="5">
        <v>0.0375</v>
      </c>
      <c r="T277" s="5">
        <v>0.0337</v>
      </c>
      <c r="U277" s="5">
        <v>0.0262</v>
      </c>
      <c r="V277" s="5">
        <v>0.0337</v>
      </c>
      <c r="W277" s="5">
        <v>0.0187</v>
      </c>
      <c r="X277" s="5">
        <v>0.0187</v>
      </c>
      <c r="Y277" s="5">
        <v>0.0337</v>
      </c>
      <c r="Z277" s="5">
        <v>0.0225</v>
      </c>
      <c r="AA277" s="6">
        <v>0.03</v>
      </c>
      <c r="AB277" s="5">
        <v>0.0262</v>
      </c>
      <c r="AC277" s="5">
        <v>0.0262</v>
      </c>
      <c r="AD277" s="5">
        <v>0.015</v>
      </c>
      <c r="AE277" s="5">
        <v>0.0187</v>
      </c>
      <c r="AF277" s="5">
        <v>0.015</v>
      </c>
      <c r="AG277" s="5">
        <v>0.0187</v>
      </c>
      <c r="AH277" s="5">
        <v>0.0112</v>
      </c>
      <c r="AI277" s="5">
        <v>0.0187</v>
      </c>
    </row>
    <row r="278" ht="16.5" hidden="1" spans="1:35">
      <c r="A278" s="2" t="s">
        <v>87</v>
      </c>
      <c r="B278" s="2" t="s">
        <v>107</v>
      </c>
      <c r="C278" s="4">
        <v>22</v>
      </c>
      <c r="D278" s="2" t="s">
        <v>19</v>
      </c>
      <c r="E278" s="4">
        <v>22</v>
      </c>
      <c r="F278" s="4">
        <v>6</v>
      </c>
      <c r="G278" s="4">
        <v>5</v>
      </c>
      <c r="H278" s="4">
        <v>5</v>
      </c>
      <c r="I278" s="4">
        <v>4</v>
      </c>
      <c r="J278" s="4">
        <v>5</v>
      </c>
      <c r="K278" s="4">
        <v>1</v>
      </c>
      <c r="L278" s="4">
        <v>1</v>
      </c>
      <c r="M278" s="4">
        <v>5</v>
      </c>
      <c r="N278" s="4">
        <v>4</v>
      </c>
      <c r="O278" s="4">
        <v>3</v>
      </c>
      <c r="P278" s="4">
        <v>1</v>
      </c>
      <c r="Q278" s="4">
        <v>3</v>
      </c>
      <c r="R278" s="4">
        <v>2</v>
      </c>
      <c r="S278" s="4">
        <v>3</v>
      </c>
      <c r="T278" s="4">
        <v>1</v>
      </c>
      <c r="U278" s="4">
        <v>1</v>
      </c>
      <c r="V278" s="4">
        <v>2</v>
      </c>
      <c r="W278" s="4">
        <v>2</v>
      </c>
      <c r="X278" s="4">
        <v>1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</v>
      </c>
      <c r="AE278" s="4">
        <v>0</v>
      </c>
      <c r="AF278" s="4">
        <v>0</v>
      </c>
      <c r="AG278" s="4">
        <v>0</v>
      </c>
      <c r="AH278" s="4">
        <v>0</v>
      </c>
      <c r="AI278" s="4">
        <v>1</v>
      </c>
    </row>
    <row r="279" ht="16.5" hidden="1" spans="1:35">
      <c r="A279" s="2" t="s">
        <v>87</v>
      </c>
      <c r="B279" s="2" t="s">
        <v>107</v>
      </c>
      <c r="C279" s="4">
        <v>22</v>
      </c>
      <c r="D279" s="2" t="s">
        <v>74</v>
      </c>
      <c r="E279" s="6">
        <v>1</v>
      </c>
      <c r="F279" s="5">
        <v>0.2727</v>
      </c>
      <c r="G279" s="5">
        <v>0.2273</v>
      </c>
      <c r="H279" s="5">
        <v>0.2273</v>
      </c>
      <c r="I279" s="5">
        <v>0.1818</v>
      </c>
      <c r="J279" s="5">
        <v>0.2273</v>
      </c>
      <c r="K279" s="5">
        <v>0.0455</v>
      </c>
      <c r="L279" s="5">
        <v>0.0455</v>
      </c>
      <c r="M279" s="5">
        <v>0.2273</v>
      </c>
      <c r="N279" s="5">
        <v>0.1818</v>
      </c>
      <c r="O279" s="5">
        <v>0.1364</v>
      </c>
      <c r="P279" s="5">
        <v>0.0455</v>
      </c>
      <c r="Q279" s="5">
        <v>0.1364</v>
      </c>
      <c r="R279" s="5">
        <v>0.0909</v>
      </c>
      <c r="S279" s="5">
        <v>0.1364</v>
      </c>
      <c r="T279" s="5">
        <v>0.0455</v>
      </c>
      <c r="U279" s="5">
        <v>0.0455</v>
      </c>
      <c r="V279" s="5">
        <v>0.0909</v>
      </c>
      <c r="W279" s="5">
        <v>0.0909</v>
      </c>
      <c r="X279" s="5">
        <v>0.0455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5">
        <v>0.0909</v>
      </c>
      <c r="AE279" s="6">
        <v>0</v>
      </c>
      <c r="AF279" s="6">
        <v>0</v>
      </c>
      <c r="AG279" s="6">
        <v>0</v>
      </c>
      <c r="AH279" s="6">
        <v>0</v>
      </c>
      <c r="AI279" s="5">
        <v>0.0455</v>
      </c>
    </row>
    <row r="280" ht="16.5" hidden="1" spans="1:35">
      <c r="A280" s="2" t="s">
        <v>88</v>
      </c>
      <c r="B280" s="2" t="s">
        <v>107</v>
      </c>
      <c r="C280" s="4">
        <v>4</v>
      </c>
      <c r="D280" s="2" t="s">
        <v>19</v>
      </c>
      <c r="E280" s="4">
        <v>4</v>
      </c>
      <c r="F280" s="4">
        <v>1</v>
      </c>
      <c r="G280" s="4">
        <v>1</v>
      </c>
      <c r="H280" s="4">
        <v>0</v>
      </c>
      <c r="I280" s="4">
        <v>0</v>
      </c>
      <c r="J280" s="4">
        <v>0</v>
      </c>
      <c r="K280" s="4">
        <v>1</v>
      </c>
      <c r="L280" s="4">
        <v>0</v>
      </c>
      <c r="M280" s="4">
        <v>0</v>
      </c>
      <c r="N280" s="4">
        <v>1</v>
      </c>
      <c r="O280" s="4">
        <v>1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</row>
    <row r="281" ht="16.5" hidden="1" spans="1:35">
      <c r="A281" s="2" t="s">
        <v>88</v>
      </c>
      <c r="B281" s="2" t="s">
        <v>107</v>
      </c>
      <c r="C281" s="4">
        <v>4</v>
      </c>
      <c r="D281" s="2" t="s">
        <v>74</v>
      </c>
      <c r="E281" s="6">
        <v>1</v>
      </c>
      <c r="F281" s="6">
        <v>0.25</v>
      </c>
      <c r="G281" s="6">
        <v>0.25</v>
      </c>
      <c r="H281" s="6">
        <v>0</v>
      </c>
      <c r="I281" s="6">
        <v>0</v>
      </c>
      <c r="J281" s="6">
        <v>0</v>
      </c>
      <c r="K281" s="6">
        <v>0.25</v>
      </c>
      <c r="L281" s="6">
        <v>0</v>
      </c>
      <c r="M281" s="6">
        <v>0</v>
      </c>
      <c r="N281" s="6">
        <v>0.25</v>
      </c>
      <c r="O281" s="6">
        <v>0.25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</row>
    <row r="282" ht="16.5" hidden="1" spans="1:35">
      <c r="A282" s="2" t="s">
        <v>89</v>
      </c>
      <c r="B282" s="2" t="s">
        <v>107</v>
      </c>
      <c r="C282" s="4">
        <v>6</v>
      </c>
      <c r="D282" s="2" t="s">
        <v>19</v>
      </c>
      <c r="E282" s="4">
        <v>6</v>
      </c>
      <c r="F282" s="4">
        <v>2</v>
      </c>
      <c r="G282" s="4">
        <v>1</v>
      </c>
      <c r="H282" s="4">
        <v>1</v>
      </c>
      <c r="I282" s="4">
        <v>2</v>
      </c>
      <c r="J282" s="4">
        <v>1</v>
      </c>
      <c r="K282" s="4">
        <v>1</v>
      </c>
      <c r="L282" s="4">
        <v>2</v>
      </c>
      <c r="M282" s="4">
        <v>1</v>
      </c>
      <c r="N282" s="4">
        <v>0</v>
      </c>
      <c r="O282" s="4">
        <v>1</v>
      </c>
      <c r="P282" s="4">
        <v>0</v>
      </c>
      <c r="Q282" s="4">
        <v>1</v>
      </c>
      <c r="R282" s="4">
        <v>1</v>
      </c>
      <c r="S282" s="4">
        <v>0</v>
      </c>
      <c r="T282" s="4">
        <v>1</v>
      </c>
      <c r="U282" s="4">
        <v>1</v>
      </c>
      <c r="V282" s="4">
        <v>0</v>
      </c>
      <c r="W282" s="4">
        <v>1</v>
      </c>
      <c r="X282" s="4">
        <v>1</v>
      </c>
      <c r="Y282" s="4">
        <v>1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</row>
    <row r="283" ht="16.5" hidden="1" spans="1:35">
      <c r="A283" s="2" t="s">
        <v>89</v>
      </c>
      <c r="B283" s="2" t="s">
        <v>107</v>
      </c>
      <c r="C283" s="4">
        <v>6</v>
      </c>
      <c r="D283" s="2" t="s">
        <v>74</v>
      </c>
      <c r="E283" s="6">
        <v>1</v>
      </c>
      <c r="F283" s="5">
        <v>0.3333</v>
      </c>
      <c r="G283" s="5">
        <v>0.1667</v>
      </c>
      <c r="H283" s="5">
        <v>0.1667</v>
      </c>
      <c r="I283" s="5">
        <v>0.3333</v>
      </c>
      <c r="J283" s="5">
        <v>0.1667</v>
      </c>
      <c r="K283" s="5">
        <v>0.1667</v>
      </c>
      <c r="L283" s="5">
        <v>0.3333</v>
      </c>
      <c r="M283" s="5">
        <v>0.1667</v>
      </c>
      <c r="N283" s="6">
        <v>0</v>
      </c>
      <c r="O283" s="5">
        <v>0.1667</v>
      </c>
      <c r="P283" s="6">
        <v>0</v>
      </c>
      <c r="Q283" s="5">
        <v>0.1667</v>
      </c>
      <c r="R283" s="5">
        <v>0.1667</v>
      </c>
      <c r="S283" s="6">
        <v>0</v>
      </c>
      <c r="T283" s="5">
        <v>0.1667</v>
      </c>
      <c r="U283" s="5">
        <v>0.1667</v>
      </c>
      <c r="V283" s="6">
        <v>0</v>
      </c>
      <c r="W283" s="5">
        <v>0.1667</v>
      </c>
      <c r="X283" s="5">
        <v>0.1667</v>
      </c>
      <c r="Y283" s="5">
        <v>0.1667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5">
        <v>0.1667</v>
      </c>
      <c r="AI283" s="6">
        <v>0</v>
      </c>
    </row>
    <row r="284" ht="16.5" hidden="1" spans="1:35">
      <c r="A284" s="2" t="s">
        <v>90</v>
      </c>
      <c r="B284" s="2" t="s">
        <v>107</v>
      </c>
      <c r="C284" s="4">
        <v>2</v>
      </c>
      <c r="D284" s="2" t="s">
        <v>19</v>
      </c>
      <c r="E284" s="4">
        <v>2</v>
      </c>
      <c r="F284" s="4">
        <v>0</v>
      </c>
      <c r="G284" s="4">
        <v>0</v>
      </c>
      <c r="H284" s="4">
        <v>0</v>
      </c>
      <c r="I284" s="4">
        <v>0</v>
      </c>
      <c r="J284" s="4">
        <v>1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2" t="s">
        <v>91</v>
      </c>
    </row>
    <row r="285" ht="16.5" hidden="1" spans="1:35">
      <c r="A285" s="2" t="s">
        <v>90</v>
      </c>
      <c r="B285" s="2" t="s">
        <v>107</v>
      </c>
      <c r="C285" s="4">
        <v>2</v>
      </c>
      <c r="D285" s="2" t="s">
        <v>74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0.5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2" t="s">
        <v>91</v>
      </c>
    </row>
    <row r="286" ht="16.5" hidden="1" spans="1:35">
      <c r="A286" s="2" t="s">
        <v>92</v>
      </c>
      <c r="B286" s="2" t="s">
        <v>107</v>
      </c>
      <c r="C286" s="4">
        <v>2</v>
      </c>
      <c r="D286" s="2" t="s">
        <v>19</v>
      </c>
      <c r="E286" s="4">
        <v>2</v>
      </c>
      <c r="F286" s="4">
        <v>1</v>
      </c>
      <c r="G286" s="4">
        <v>1</v>
      </c>
      <c r="H286" s="4">
        <v>1</v>
      </c>
      <c r="I286" s="4">
        <v>0</v>
      </c>
      <c r="J286" s="4">
        <v>0</v>
      </c>
      <c r="K286" s="4">
        <v>0</v>
      </c>
      <c r="L286" s="4">
        <v>1</v>
      </c>
      <c r="M286" s="4">
        <v>1</v>
      </c>
      <c r="N286" s="4">
        <v>1</v>
      </c>
      <c r="O286" s="4">
        <v>0</v>
      </c>
      <c r="P286" s="4">
        <v>0</v>
      </c>
      <c r="Q286" s="4">
        <v>0</v>
      </c>
      <c r="R286" s="4">
        <v>1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1</v>
      </c>
      <c r="Y286" s="4">
        <v>1</v>
      </c>
      <c r="Z286" s="4">
        <v>1</v>
      </c>
      <c r="AA286" s="4">
        <v>0</v>
      </c>
      <c r="AB286" s="4">
        <v>1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2" t="s">
        <v>91</v>
      </c>
      <c r="AI286" s="2" t="s">
        <v>91</v>
      </c>
    </row>
    <row r="287" ht="16.5" hidden="1" spans="1:35">
      <c r="A287" s="2" t="s">
        <v>92</v>
      </c>
      <c r="B287" s="2" t="s">
        <v>107</v>
      </c>
      <c r="C287" s="4">
        <v>2</v>
      </c>
      <c r="D287" s="2" t="s">
        <v>74</v>
      </c>
      <c r="E287" s="6">
        <v>1</v>
      </c>
      <c r="F287" s="6">
        <v>0.5</v>
      </c>
      <c r="G287" s="6">
        <v>0.5</v>
      </c>
      <c r="H287" s="6">
        <v>0.5</v>
      </c>
      <c r="I287" s="6">
        <v>0</v>
      </c>
      <c r="J287" s="6">
        <v>0</v>
      </c>
      <c r="K287" s="6">
        <v>0</v>
      </c>
      <c r="L287" s="6">
        <v>0.5</v>
      </c>
      <c r="M287" s="6">
        <v>0.5</v>
      </c>
      <c r="N287" s="6">
        <v>0.5</v>
      </c>
      <c r="O287" s="6">
        <v>0</v>
      </c>
      <c r="P287" s="6">
        <v>0</v>
      </c>
      <c r="Q287" s="6">
        <v>0</v>
      </c>
      <c r="R287" s="6">
        <v>0.5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0.5</v>
      </c>
      <c r="Y287" s="6">
        <v>0.5</v>
      </c>
      <c r="Z287" s="6">
        <v>0.5</v>
      </c>
      <c r="AA287" s="6">
        <v>0</v>
      </c>
      <c r="AB287" s="6">
        <v>0.5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2" t="s">
        <v>91</v>
      </c>
      <c r="AI287" s="2" t="s">
        <v>91</v>
      </c>
    </row>
    <row r="288" ht="16.5" hidden="1" spans="1:35">
      <c r="A288" s="2" t="s">
        <v>93</v>
      </c>
      <c r="B288" s="2" t="s">
        <v>107</v>
      </c>
      <c r="C288" s="4">
        <v>1</v>
      </c>
      <c r="D288" s="2" t="s">
        <v>19</v>
      </c>
      <c r="E288" s="4">
        <v>1</v>
      </c>
      <c r="F288" s="4">
        <v>1</v>
      </c>
      <c r="G288" s="4">
        <v>1</v>
      </c>
      <c r="H288" s="4">
        <v>0</v>
      </c>
      <c r="I288" s="4">
        <v>0</v>
      </c>
      <c r="J288" s="4">
        <v>0</v>
      </c>
      <c r="K288" s="4">
        <v>1</v>
      </c>
      <c r="L288" s="4">
        <v>1</v>
      </c>
      <c r="M288" s="4">
        <v>1</v>
      </c>
      <c r="N288" s="4">
        <v>0</v>
      </c>
      <c r="O288" s="4">
        <v>0</v>
      </c>
      <c r="P288" s="4">
        <v>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1</v>
      </c>
      <c r="X288" s="4">
        <v>1</v>
      </c>
      <c r="Y288" s="4">
        <v>1</v>
      </c>
      <c r="Z288" s="4">
        <v>0</v>
      </c>
      <c r="AA288" s="4">
        <v>1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2" t="s">
        <v>91</v>
      </c>
      <c r="AH288" s="2" t="s">
        <v>91</v>
      </c>
      <c r="AI288" s="2" t="s">
        <v>91</v>
      </c>
    </row>
    <row r="289" ht="16.5" hidden="1" spans="1:35">
      <c r="A289" s="2" t="s">
        <v>93</v>
      </c>
      <c r="B289" s="2" t="s">
        <v>107</v>
      </c>
      <c r="C289" s="4">
        <v>1</v>
      </c>
      <c r="D289" s="2" t="s">
        <v>74</v>
      </c>
      <c r="E289" s="6">
        <v>1</v>
      </c>
      <c r="F289" s="6">
        <v>1</v>
      </c>
      <c r="G289" s="6">
        <v>1</v>
      </c>
      <c r="H289" s="6">
        <v>0</v>
      </c>
      <c r="I289" s="6">
        <v>0</v>
      </c>
      <c r="J289" s="6">
        <v>0</v>
      </c>
      <c r="K289" s="6">
        <v>1</v>
      </c>
      <c r="L289" s="6">
        <v>1</v>
      </c>
      <c r="M289" s="6">
        <v>1</v>
      </c>
      <c r="N289" s="6">
        <v>0</v>
      </c>
      <c r="O289" s="6">
        <v>0</v>
      </c>
      <c r="P289" s="6">
        <v>0</v>
      </c>
      <c r="Q289" s="6">
        <v>1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1</v>
      </c>
      <c r="X289" s="6">
        <v>1</v>
      </c>
      <c r="Y289" s="6">
        <v>1</v>
      </c>
      <c r="Z289" s="6">
        <v>0</v>
      </c>
      <c r="AA289" s="6">
        <v>1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2" t="s">
        <v>91</v>
      </c>
      <c r="AH289" s="2" t="s">
        <v>91</v>
      </c>
      <c r="AI289" s="2" t="s">
        <v>91</v>
      </c>
    </row>
    <row r="290" ht="16.5" hidden="1" spans="1:35">
      <c r="A290" s="2" t="s">
        <v>94</v>
      </c>
      <c r="B290" s="2" t="s">
        <v>107</v>
      </c>
      <c r="C290" s="4">
        <v>5</v>
      </c>
      <c r="D290" s="2" t="s">
        <v>19</v>
      </c>
      <c r="E290" s="4">
        <v>5</v>
      </c>
      <c r="F290" s="4">
        <v>4</v>
      </c>
      <c r="G290" s="4">
        <v>0</v>
      </c>
      <c r="H290" s="4">
        <v>0</v>
      </c>
      <c r="I290" s="4">
        <v>0</v>
      </c>
      <c r="J290" s="4">
        <v>2</v>
      </c>
      <c r="K290" s="4">
        <v>2</v>
      </c>
      <c r="L290" s="4">
        <v>2</v>
      </c>
      <c r="M290" s="4">
        <v>1</v>
      </c>
      <c r="N290" s="4">
        <v>0</v>
      </c>
      <c r="O290" s="4">
        <v>0</v>
      </c>
      <c r="P290" s="4">
        <v>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4">
        <v>1</v>
      </c>
      <c r="X290" s="4">
        <v>1</v>
      </c>
      <c r="Y290" s="4">
        <v>1</v>
      </c>
      <c r="Z290" s="4">
        <v>1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2" t="s">
        <v>91</v>
      </c>
      <c r="AG290" s="2" t="s">
        <v>91</v>
      </c>
      <c r="AH290" s="2" t="s">
        <v>91</v>
      </c>
      <c r="AI290" s="2" t="s">
        <v>91</v>
      </c>
    </row>
    <row r="291" ht="16.5" hidden="1" spans="1:35">
      <c r="A291" s="2" t="s">
        <v>94</v>
      </c>
      <c r="B291" s="2" t="s">
        <v>107</v>
      </c>
      <c r="C291" s="4">
        <v>5</v>
      </c>
      <c r="D291" s="2" t="s">
        <v>74</v>
      </c>
      <c r="E291" s="6">
        <v>1</v>
      </c>
      <c r="F291" s="6">
        <v>0.8</v>
      </c>
      <c r="G291" s="6">
        <v>0</v>
      </c>
      <c r="H291" s="6">
        <v>0</v>
      </c>
      <c r="I291" s="6">
        <v>0</v>
      </c>
      <c r="J291" s="6">
        <v>0.4</v>
      </c>
      <c r="K291" s="6">
        <v>0.4</v>
      </c>
      <c r="L291" s="6">
        <v>0.4</v>
      </c>
      <c r="M291" s="6">
        <v>0.2</v>
      </c>
      <c r="N291" s="6">
        <v>0</v>
      </c>
      <c r="O291" s="6">
        <v>0</v>
      </c>
      <c r="P291" s="6">
        <v>0.2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0.2</v>
      </c>
      <c r="W291" s="6">
        <v>0.2</v>
      </c>
      <c r="X291" s="6">
        <v>0.2</v>
      </c>
      <c r="Y291" s="6">
        <v>0.2</v>
      </c>
      <c r="Z291" s="6">
        <v>0.2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2" t="s">
        <v>91</v>
      </c>
      <c r="AG291" s="2" t="s">
        <v>91</v>
      </c>
      <c r="AH291" s="2" t="s">
        <v>91</v>
      </c>
      <c r="AI291" s="2" t="s">
        <v>91</v>
      </c>
    </row>
    <row r="292" ht="16.5" hidden="1" spans="1:35">
      <c r="A292" s="2" t="s">
        <v>95</v>
      </c>
      <c r="B292" s="2" t="s">
        <v>107</v>
      </c>
      <c r="C292" s="4">
        <v>2</v>
      </c>
      <c r="D292" s="2" t="s">
        <v>19</v>
      </c>
      <c r="E292" s="4">
        <v>2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2" t="s">
        <v>91</v>
      </c>
      <c r="AF292" s="2" t="s">
        <v>91</v>
      </c>
      <c r="AG292" s="2" t="s">
        <v>91</v>
      </c>
      <c r="AH292" s="2" t="s">
        <v>91</v>
      </c>
      <c r="AI292" s="2" t="s">
        <v>91</v>
      </c>
    </row>
    <row r="293" ht="16.5" hidden="1" spans="1:35">
      <c r="A293" s="2" t="s">
        <v>95</v>
      </c>
      <c r="B293" s="2" t="s">
        <v>107</v>
      </c>
      <c r="C293" s="4">
        <v>2</v>
      </c>
      <c r="D293" s="2" t="s">
        <v>74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0.5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2" t="s">
        <v>91</v>
      </c>
      <c r="AF293" s="2" t="s">
        <v>91</v>
      </c>
      <c r="AG293" s="2" t="s">
        <v>91</v>
      </c>
      <c r="AH293" s="2" t="s">
        <v>91</v>
      </c>
      <c r="AI293" s="2" t="s">
        <v>91</v>
      </c>
    </row>
    <row r="294" ht="16.5" hidden="1" spans="1:35">
      <c r="A294" s="2" t="s">
        <v>96</v>
      </c>
      <c r="B294" s="2" t="s">
        <v>107</v>
      </c>
      <c r="C294" s="4">
        <v>2</v>
      </c>
      <c r="D294" s="2" t="s">
        <v>19</v>
      </c>
      <c r="E294" s="4">
        <v>2</v>
      </c>
      <c r="F294" s="4">
        <v>1</v>
      </c>
      <c r="G294" s="4">
        <v>1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91</v>
      </c>
      <c r="AE294" s="2" t="s">
        <v>91</v>
      </c>
      <c r="AF294" s="2" t="s">
        <v>91</v>
      </c>
      <c r="AG294" s="2" t="s">
        <v>91</v>
      </c>
      <c r="AH294" s="2" t="s">
        <v>91</v>
      </c>
      <c r="AI294" s="2" t="s">
        <v>91</v>
      </c>
    </row>
    <row r="295" ht="16.5" hidden="1" spans="1:35">
      <c r="A295" s="2" t="s">
        <v>96</v>
      </c>
      <c r="B295" s="2" t="s">
        <v>107</v>
      </c>
      <c r="C295" s="4">
        <v>2</v>
      </c>
      <c r="D295" s="2" t="s">
        <v>74</v>
      </c>
      <c r="E295" s="6">
        <v>1</v>
      </c>
      <c r="F295" s="6">
        <v>0.5</v>
      </c>
      <c r="G295" s="6">
        <v>0.5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2" t="s">
        <v>91</v>
      </c>
      <c r="AE295" s="2" t="s">
        <v>91</v>
      </c>
      <c r="AF295" s="2" t="s">
        <v>91</v>
      </c>
      <c r="AG295" s="2" t="s">
        <v>91</v>
      </c>
      <c r="AH295" s="2" t="s">
        <v>91</v>
      </c>
      <c r="AI295" s="2" t="s">
        <v>91</v>
      </c>
    </row>
    <row r="296" ht="16.5" hidden="1" spans="1:35">
      <c r="A296" s="2" t="s">
        <v>33</v>
      </c>
      <c r="B296" s="2" t="s">
        <v>107</v>
      </c>
      <c r="C296" s="4">
        <v>3</v>
      </c>
      <c r="D296" s="2" t="s">
        <v>19</v>
      </c>
      <c r="E296" s="4">
        <v>3</v>
      </c>
      <c r="F296" s="4">
        <v>1</v>
      </c>
      <c r="G296" s="4">
        <v>1</v>
      </c>
      <c r="H296" s="4">
        <v>1</v>
      </c>
      <c r="I296" s="4">
        <v>1</v>
      </c>
      <c r="J296" s="4">
        <v>1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</v>
      </c>
      <c r="Q296" s="4">
        <v>0</v>
      </c>
      <c r="R296" s="4">
        <v>0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2" t="s">
        <v>91</v>
      </c>
      <c r="AD296" s="2" t="s">
        <v>91</v>
      </c>
      <c r="AE296" s="2" t="s">
        <v>91</v>
      </c>
      <c r="AF296" s="2" t="s">
        <v>91</v>
      </c>
      <c r="AG296" s="2" t="s">
        <v>91</v>
      </c>
      <c r="AH296" s="2" t="s">
        <v>91</v>
      </c>
      <c r="AI296" s="2" t="s">
        <v>91</v>
      </c>
    </row>
    <row r="297" ht="16.5" hidden="1" spans="1:35">
      <c r="A297" s="2" t="s">
        <v>33</v>
      </c>
      <c r="B297" s="2" t="s">
        <v>107</v>
      </c>
      <c r="C297" s="4">
        <v>3</v>
      </c>
      <c r="D297" s="2" t="s">
        <v>74</v>
      </c>
      <c r="E297" s="6">
        <v>1</v>
      </c>
      <c r="F297" s="5">
        <v>0.3333</v>
      </c>
      <c r="G297" s="5">
        <v>0.3333</v>
      </c>
      <c r="H297" s="5">
        <v>0.3333</v>
      </c>
      <c r="I297" s="5">
        <v>0.3333</v>
      </c>
      <c r="J297" s="5">
        <v>0.3333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5">
        <v>0.3333</v>
      </c>
      <c r="Q297" s="6">
        <v>0</v>
      </c>
      <c r="R297" s="6">
        <v>0</v>
      </c>
      <c r="S297" s="5">
        <v>0.3333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2" t="s">
        <v>91</v>
      </c>
      <c r="AD297" s="2" t="s">
        <v>91</v>
      </c>
      <c r="AE297" s="2" t="s">
        <v>91</v>
      </c>
      <c r="AF297" s="2" t="s">
        <v>91</v>
      </c>
      <c r="AG297" s="2" t="s">
        <v>91</v>
      </c>
      <c r="AH297" s="2" t="s">
        <v>91</v>
      </c>
      <c r="AI297" s="2" t="s">
        <v>91</v>
      </c>
    </row>
    <row r="298" ht="16.5" hidden="1" spans="1:35">
      <c r="A298" s="2" t="s">
        <v>37</v>
      </c>
      <c r="B298" s="2" t="s">
        <v>107</v>
      </c>
      <c r="C298" s="4">
        <v>1</v>
      </c>
      <c r="D298" s="2" t="s">
        <v>19</v>
      </c>
      <c r="E298" s="4">
        <v>1</v>
      </c>
      <c r="F298" s="4">
        <v>0</v>
      </c>
      <c r="G298" s="4">
        <v>1</v>
      </c>
      <c r="H298" s="4">
        <v>0</v>
      </c>
      <c r="I298" s="4">
        <v>1</v>
      </c>
      <c r="J298" s="4">
        <v>0</v>
      </c>
      <c r="K298" s="4">
        <v>0</v>
      </c>
      <c r="L298" s="4">
        <v>0</v>
      </c>
      <c r="M298" s="4">
        <v>1</v>
      </c>
      <c r="N298" s="4">
        <v>0</v>
      </c>
      <c r="O298" s="4">
        <v>1</v>
      </c>
      <c r="P298" s="4">
        <v>1</v>
      </c>
      <c r="Q298" s="4">
        <v>1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</v>
      </c>
      <c r="AA298" s="4">
        <v>0</v>
      </c>
      <c r="AB298" s="2" t="s">
        <v>91</v>
      </c>
      <c r="AC298" s="2" t="s">
        <v>91</v>
      </c>
      <c r="AD298" s="2" t="s">
        <v>91</v>
      </c>
      <c r="AE298" s="2" t="s">
        <v>91</v>
      </c>
      <c r="AF298" s="2" t="s">
        <v>91</v>
      </c>
      <c r="AG298" s="2" t="s">
        <v>91</v>
      </c>
      <c r="AH298" s="2" t="s">
        <v>91</v>
      </c>
      <c r="AI298" s="2" t="s">
        <v>91</v>
      </c>
    </row>
    <row r="299" ht="16.5" hidden="1" spans="1:35">
      <c r="A299" s="2" t="s">
        <v>37</v>
      </c>
      <c r="B299" s="2" t="s">
        <v>107</v>
      </c>
      <c r="C299" s="4">
        <v>1</v>
      </c>
      <c r="D299" s="2" t="s">
        <v>74</v>
      </c>
      <c r="E299" s="6">
        <v>1</v>
      </c>
      <c r="F299" s="6">
        <v>0</v>
      </c>
      <c r="G299" s="6">
        <v>1</v>
      </c>
      <c r="H299" s="6">
        <v>0</v>
      </c>
      <c r="I299" s="6">
        <v>1</v>
      </c>
      <c r="J299" s="6">
        <v>0</v>
      </c>
      <c r="K299" s="6">
        <v>0</v>
      </c>
      <c r="L299" s="6">
        <v>0</v>
      </c>
      <c r="M299" s="6">
        <v>1</v>
      </c>
      <c r="N299" s="6">
        <v>0</v>
      </c>
      <c r="O299" s="6">
        <v>1</v>
      </c>
      <c r="P299" s="6">
        <v>1</v>
      </c>
      <c r="Q299" s="6">
        <v>1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1</v>
      </c>
      <c r="AA299" s="6">
        <v>0</v>
      </c>
      <c r="AB299" s="2" t="s">
        <v>91</v>
      </c>
      <c r="AC299" s="2" t="s">
        <v>91</v>
      </c>
      <c r="AD299" s="2" t="s">
        <v>91</v>
      </c>
      <c r="AE299" s="2" t="s">
        <v>91</v>
      </c>
      <c r="AF299" s="2" t="s">
        <v>91</v>
      </c>
      <c r="AG299" s="2" t="s">
        <v>91</v>
      </c>
      <c r="AH299" s="2" t="s">
        <v>91</v>
      </c>
      <c r="AI299" s="2" t="s">
        <v>91</v>
      </c>
    </row>
    <row r="300" ht="16.5" hidden="1" spans="1:35">
      <c r="A300" s="2" t="s">
        <v>38</v>
      </c>
      <c r="B300" s="2" t="s">
        <v>107</v>
      </c>
      <c r="C300" s="4">
        <v>1</v>
      </c>
      <c r="D300" s="2" t="s">
        <v>19</v>
      </c>
      <c r="E300" s="4">
        <v>1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2" t="s">
        <v>91</v>
      </c>
      <c r="AB300" s="2" t="s">
        <v>91</v>
      </c>
      <c r="AC300" s="2" t="s">
        <v>91</v>
      </c>
      <c r="AD300" s="2" t="s">
        <v>91</v>
      </c>
      <c r="AE300" s="2" t="s">
        <v>91</v>
      </c>
      <c r="AF300" s="2" t="s">
        <v>91</v>
      </c>
      <c r="AG300" s="2" t="s">
        <v>91</v>
      </c>
      <c r="AH300" s="2" t="s">
        <v>91</v>
      </c>
      <c r="AI300" s="2" t="s">
        <v>91</v>
      </c>
    </row>
    <row r="301" ht="16.5" hidden="1" spans="1:35">
      <c r="A301" s="2" t="s">
        <v>38</v>
      </c>
      <c r="B301" s="2" t="s">
        <v>107</v>
      </c>
      <c r="C301" s="4">
        <v>1</v>
      </c>
      <c r="D301" s="2" t="s">
        <v>74</v>
      </c>
      <c r="E301" s="6">
        <v>1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2" t="s">
        <v>91</v>
      </c>
      <c r="AB301" s="2" t="s">
        <v>91</v>
      </c>
      <c r="AC301" s="2" t="s">
        <v>91</v>
      </c>
      <c r="AD301" s="2" t="s">
        <v>91</v>
      </c>
      <c r="AE301" s="2" t="s">
        <v>91</v>
      </c>
      <c r="AF301" s="2" t="s">
        <v>91</v>
      </c>
      <c r="AG301" s="2" t="s">
        <v>91</v>
      </c>
      <c r="AH301" s="2" t="s">
        <v>91</v>
      </c>
      <c r="AI301" s="2" t="s">
        <v>91</v>
      </c>
    </row>
    <row r="302" ht="16.5" hidden="1" spans="1:35">
      <c r="A302" s="2" t="s">
        <v>39</v>
      </c>
      <c r="B302" s="2" t="s">
        <v>107</v>
      </c>
      <c r="C302" s="4">
        <v>1</v>
      </c>
      <c r="D302" s="2" t="s">
        <v>19</v>
      </c>
      <c r="E302" s="4">
        <v>1</v>
      </c>
      <c r="F302" s="4">
        <v>1</v>
      </c>
      <c r="G302" s="4">
        <v>0</v>
      </c>
      <c r="H302" s="4">
        <v>0</v>
      </c>
      <c r="I302" s="4">
        <v>0</v>
      </c>
      <c r="J302" s="4">
        <v>1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</v>
      </c>
      <c r="Q302" s="4">
        <v>1</v>
      </c>
      <c r="R302" s="4">
        <v>1</v>
      </c>
      <c r="S302" s="4">
        <v>0</v>
      </c>
      <c r="T302" s="4">
        <v>1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2" t="s">
        <v>91</v>
      </c>
      <c r="AA302" s="2" t="s">
        <v>91</v>
      </c>
      <c r="AB302" s="2" t="s">
        <v>91</v>
      </c>
      <c r="AC302" s="2" t="s">
        <v>91</v>
      </c>
      <c r="AD302" s="2" t="s">
        <v>91</v>
      </c>
      <c r="AE302" s="2" t="s">
        <v>91</v>
      </c>
      <c r="AF302" s="2" t="s">
        <v>91</v>
      </c>
      <c r="AG302" s="2" t="s">
        <v>91</v>
      </c>
      <c r="AH302" s="2" t="s">
        <v>91</v>
      </c>
      <c r="AI302" s="2" t="s">
        <v>91</v>
      </c>
    </row>
    <row r="303" ht="16.5" hidden="1" spans="1:35">
      <c r="A303" s="2" t="s">
        <v>39</v>
      </c>
      <c r="B303" s="2" t="s">
        <v>107</v>
      </c>
      <c r="C303" s="4">
        <v>1</v>
      </c>
      <c r="D303" s="2" t="s">
        <v>74</v>
      </c>
      <c r="E303" s="6">
        <v>1</v>
      </c>
      <c r="F303" s="6">
        <v>1</v>
      </c>
      <c r="G303" s="6">
        <v>0</v>
      </c>
      <c r="H303" s="6">
        <v>0</v>
      </c>
      <c r="I303" s="6">
        <v>0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1</v>
      </c>
      <c r="Q303" s="6">
        <v>1</v>
      </c>
      <c r="R303" s="6">
        <v>1</v>
      </c>
      <c r="S303" s="6">
        <v>0</v>
      </c>
      <c r="T303" s="6">
        <v>1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2" t="s">
        <v>91</v>
      </c>
      <c r="AA303" s="2" t="s">
        <v>91</v>
      </c>
      <c r="AB303" s="2" t="s">
        <v>91</v>
      </c>
      <c r="AC303" s="2" t="s">
        <v>91</v>
      </c>
      <c r="AD303" s="2" t="s">
        <v>91</v>
      </c>
      <c r="AE303" s="2" t="s">
        <v>91</v>
      </c>
      <c r="AF303" s="2" t="s">
        <v>91</v>
      </c>
      <c r="AG303" s="2" t="s">
        <v>91</v>
      </c>
      <c r="AH303" s="2" t="s">
        <v>91</v>
      </c>
      <c r="AI303" s="2" t="s">
        <v>91</v>
      </c>
    </row>
    <row r="304" ht="16.5" hidden="1" spans="1:35">
      <c r="A304" s="2" t="s">
        <v>40</v>
      </c>
      <c r="B304" s="2" t="s">
        <v>107</v>
      </c>
      <c r="C304" s="4">
        <v>1</v>
      </c>
      <c r="D304" s="2" t="s">
        <v>19</v>
      </c>
      <c r="E304" s="4">
        <v>1</v>
      </c>
      <c r="F304" s="4">
        <v>0</v>
      </c>
      <c r="G304" s="4">
        <v>0</v>
      </c>
      <c r="H304" s="4">
        <v>0</v>
      </c>
      <c r="I304" s="4">
        <v>1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1</v>
      </c>
      <c r="P304" s="4">
        <v>1</v>
      </c>
      <c r="Q304" s="4">
        <v>1</v>
      </c>
      <c r="R304" s="4">
        <v>0</v>
      </c>
      <c r="S304" s="4">
        <v>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2" t="s">
        <v>91</v>
      </c>
      <c r="Z304" s="2" t="s">
        <v>91</v>
      </c>
      <c r="AA304" s="2" t="s">
        <v>91</v>
      </c>
      <c r="AB304" s="2" t="s">
        <v>91</v>
      </c>
      <c r="AC304" s="2" t="s">
        <v>91</v>
      </c>
      <c r="AD304" s="2" t="s">
        <v>91</v>
      </c>
      <c r="AE304" s="2" t="s">
        <v>91</v>
      </c>
      <c r="AF304" s="2" t="s">
        <v>91</v>
      </c>
      <c r="AG304" s="2" t="s">
        <v>91</v>
      </c>
      <c r="AH304" s="2" t="s">
        <v>91</v>
      </c>
      <c r="AI304" s="2" t="s">
        <v>91</v>
      </c>
    </row>
    <row r="305" ht="16.5" hidden="1" spans="1:35">
      <c r="A305" s="2" t="s">
        <v>40</v>
      </c>
      <c r="B305" s="2" t="s">
        <v>107</v>
      </c>
      <c r="C305" s="4">
        <v>1</v>
      </c>
      <c r="D305" s="2" t="s">
        <v>74</v>
      </c>
      <c r="E305" s="6">
        <v>1</v>
      </c>
      <c r="F305" s="6">
        <v>0</v>
      </c>
      <c r="G305" s="6">
        <v>0</v>
      </c>
      <c r="H305" s="6">
        <v>0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1</v>
      </c>
      <c r="Q305" s="6">
        <v>1</v>
      </c>
      <c r="R305" s="6">
        <v>0</v>
      </c>
      <c r="S305" s="6">
        <v>1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2" t="s">
        <v>91</v>
      </c>
      <c r="Z305" s="2" t="s">
        <v>91</v>
      </c>
      <c r="AA305" s="2" t="s">
        <v>91</v>
      </c>
      <c r="AB305" s="2" t="s">
        <v>91</v>
      </c>
      <c r="AC305" s="2" t="s">
        <v>91</v>
      </c>
      <c r="AD305" s="2" t="s">
        <v>91</v>
      </c>
      <c r="AE305" s="2" t="s">
        <v>91</v>
      </c>
      <c r="AF305" s="2" t="s">
        <v>91</v>
      </c>
      <c r="AG305" s="2" t="s">
        <v>91</v>
      </c>
      <c r="AH305" s="2" t="s">
        <v>91</v>
      </c>
      <c r="AI305" s="2" t="s">
        <v>91</v>
      </c>
    </row>
    <row r="306" ht="16.5" hidden="1" spans="1:35">
      <c r="A306" s="2" t="s">
        <v>42</v>
      </c>
      <c r="B306" s="2" t="s">
        <v>107</v>
      </c>
      <c r="C306" s="4">
        <v>1</v>
      </c>
      <c r="D306" s="2" t="s">
        <v>19</v>
      </c>
      <c r="E306" s="4">
        <v>1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2" t="s">
        <v>91</v>
      </c>
      <c r="X306" s="2" t="s">
        <v>91</v>
      </c>
      <c r="Y306" s="2" t="s">
        <v>91</v>
      </c>
      <c r="Z306" s="2" t="s">
        <v>91</v>
      </c>
      <c r="AA306" s="2" t="s">
        <v>91</v>
      </c>
      <c r="AB306" s="2" t="s">
        <v>91</v>
      </c>
      <c r="AC306" s="2" t="s">
        <v>91</v>
      </c>
      <c r="AD306" s="2" t="s">
        <v>91</v>
      </c>
      <c r="AE306" s="2" t="s">
        <v>91</v>
      </c>
      <c r="AF306" s="2" t="s">
        <v>91</v>
      </c>
      <c r="AG306" s="2" t="s">
        <v>91</v>
      </c>
      <c r="AH306" s="2" t="s">
        <v>91</v>
      </c>
      <c r="AI306" s="2" t="s">
        <v>91</v>
      </c>
    </row>
    <row r="307" ht="16.5" hidden="1" spans="1:35">
      <c r="A307" s="2" t="s">
        <v>42</v>
      </c>
      <c r="B307" s="2" t="s">
        <v>107</v>
      </c>
      <c r="C307" s="4">
        <v>1</v>
      </c>
      <c r="D307" s="2" t="s">
        <v>74</v>
      </c>
      <c r="E307" s="6">
        <v>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2" t="s">
        <v>91</v>
      </c>
      <c r="X307" s="2" t="s">
        <v>91</v>
      </c>
      <c r="Y307" s="2" t="s">
        <v>91</v>
      </c>
      <c r="Z307" s="2" t="s">
        <v>91</v>
      </c>
      <c r="AA307" s="2" t="s">
        <v>91</v>
      </c>
      <c r="AB307" s="2" t="s">
        <v>91</v>
      </c>
      <c r="AC307" s="2" t="s">
        <v>91</v>
      </c>
      <c r="AD307" s="2" t="s">
        <v>91</v>
      </c>
      <c r="AE307" s="2" t="s">
        <v>91</v>
      </c>
      <c r="AF307" s="2" t="s">
        <v>91</v>
      </c>
      <c r="AG307" s="2" t="s">
        <v>91</v>
      </c>
      <c r="AH307" s="2" t="s">
        <v>91</v>
      </c>
      <c r="AI307" s="2" t="s">
        <v>91</v>
      </c>
    </row>
    <row r="308" ht="16.5" hidden="1" spans="1:35">
      <c r="A308" s="2" t="s">
        <v>43</v>
      </c>
      <c r="B308" s="2" t="s">
        <v>107</v>
      </c>
      <c r="C308" s="4">
        <v>1</v>
      </c>
      <c r="D308" s="2" t="s">
        <v>19</v>
      </c>
      <c r="E308" s="4">
        <v>1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2" t="s">
        <v>91</v>
      </c>
      <c r="W308" s="2" t="s">
        <v>91</v>
      </c>
      <c r="X308" s="2" t="s">
        <v>91</v>
      </c>
      <c r="Y308" s="2" t="s">
        <v>91</v>
      </c>
      <c r="Z308" s="2" t="s">
        <v>91</v>
      </c>
      <c r="AA308" s="2" t="s">
        <v>91</v>
      </c>
      <c r="AB308" s="2" t="s">
        <v>91</v>
      </c>
      <c r="AC308" s="2" t="s">
        <v>91</v>
      </c>
      <c r="AD308" s="2" t="s">
        <v>91</v>
      </c>
      <c r="AE308" s="2" t="s">
        <v>91</v>
      </c>
      <c r="AF308" s="2" t="s">
        <v>91</v>
      </c>
      <c r="AG308" s="2" t="s">
        <v>91</v>
      </c>
      <c r="AH308" s="2" t="s">
        <v>91</v>
      </c>
      <c r="AI308" s="2" t="s">
        <v>91</v>
      </c>
    </row>
    <row r="309" ht="16.5" hidden="1" spans="1:35">
      <c r="A309" s="2" t="s">
        <v>43</v>
      </c>
      <c r="B309" s="2" t="s">
        <v>107</v>
      </c>
      <c r="C309" s="4">
        <v>1</v>
      </c>
      <c r="D309" s="2" t="s">
        <v>74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2" t="s">
        <v>91</v>
      </c>
      <c r="W309" s="2" t="s">
        <v>91</v>
      </c>
      <c r="X309" s="2" t="s">
        <v>91</v>
      </c>
      <c r="Y309" s="2" t="s">
        <v>91</v>
      </c>
      <c r="Z309" s="2" t="s">
        <v>91</v>
      </c>
      <c r="AA309" s="2" t="s">
        <v>91</v>
      </c>
      <c r="AB309" s="2" t="s">
        <v>91</v>
      </c>
      <c r="AC309" s="2" t="s">
        <v>91</v>
      </c>
      <c r="AD309" s="2" t="s">
        <v>91</v>
      </c>
      <c r="AE309" s="2" t="s">
        <v>91</v>
      </c>
      <c r="AF309" s="2" t="s">
        <v>91</v>
      </c>
      <c r="AG309" s="2" t="s">
        <v>91</v>
      </c>
      <c r="AH309" s="2" t="s">
        <v>91</v>
      </c>
      <c r="AI309" s="2" t="s">
        <v>91</v>
      </c>
    </row>
    <row r="310" ht="16.5" hidden="1" spans="1:35">
      <c r="A310" s="2" t="s">
        <v>97</v>
      </c>
      <c r="B310" s="2" t="s">
        <v>107</v>
      </c>
      <c r="C310" s="4">
        <v>5</v>
      </c>
      <c r="D310" s="2" t="s">
        <v>19</v>
      </c>
      <c r="E310" s="4">
        <v>5</v>
      </c>
      <c r="F310" s="4">
        <v>4</v>
      </c>
      <c r="G310" s="4">
        <v>3</v>
      </c>
      <c r="H310" s="4">
        <v>2</v>
      </c>
      <c r="I310" s="4">
        <v>1</v>
      </c>
      <c r="J310" s="4">
        <v>1</v>
      </c>
      <c r="K310" s="4">
        <v>3</v>
      </c>
      <c r="L310" s="4">
        <v>3</v>
      </c>
      <c r="M310" s="4">
        <v>2</v>
      </c>
      <c r="N310" s="4">
        <v>1</v>
      </c>
      <c r="O310" s="4">
        <v>1</v>
      </c>
      <c r="P310" s="4">
        <v>1</v>
      </c>
      <c r="Q310" s="4">
        <v>1</v>
      </c>
      <c r="R310" s="4">
        <v>2</v>
      </c>
      <c r="S310" s="4">
        <v>1</v>
      </c>
      <c r="T310" s="4">
        <v>1</v>
      </c>
      <c r="U310" s="2" t="s">
        <v>91</v>
      </c>
      <c r="V310" s="2" t="s">
        <v>91</v>
      </c>
      <c r="W310" s="2" t="s">
        <v>91</v>
      </c>
      <c r="X310" s="2" t="s">
        <v>91</v>
      </c>
      <c r="Y310" s="2" t="s">
        <v>91</v>
      </c>
      <c r="Z310" s="2" t="s">
        <v>91</v>
      </c>
      <c r="AA310" s="2" t="s">
        <v>91</v>
      </c>
      <c r="AB310" s="2" t="s">
        <v>91</v>
      </c>
      <c r="AC310" s="2" t="s">
        <v>91</v>
      </c>
      <c r="AD310" s="2" t="s">
        <v>91</v>
      </c>
      <c r="AE310" s="2" t="s">
        <v>91</v>
      </c>
      <c r="AF310" s="2" t="s">
        <v>91</v>
      </c>
      <c r="AG310" s="2" t="s">
        <v>91</v>
      </c>
      <c r="AH310" s="2" t="s">
        <v>91</v>
      </c>
      <c r="AI310" s="2" t="s">
        <v>91</v>
      </c>
    </row>
    <row r="311" ht="16.5" hidden="1" spans="1:35">
      <c r="A311" s="2" t="s">
        <v>97</v>
      </c>
      <c r="B311" s="2" t="s">
        <v>107</v>
      </c>
      <c r="C311" s="4">
        <v>5</v>
      </c>
      <c r="D311" s="2" t="s">
        <v>74</v>
      </c>
      <c r="E311" s="6">
        <v>1</v>
      </c>
      <c r="F311" s="6">
        <v>0.8</v>
      </c>
      <c r="G311" s="6">
        <v>0.6</v>
      </c>
      <c r="H311" s="6">
        <v>0.4</v>
      </c>
      <c r="I311" s="6">
        <v>0.2</v>
      </c>
      <c r="J311" s="6">
        <v>0.2</v>
      </c>
      <c r="K311" s="6">
        <v>0.6</v>
      </c>
      <c r="L311" s="6">
        <v>0.6</v>
      </c>
      <c r="M311" s="6">
        <v>0.4</v>
      </c>
      <c r="N311" s="6">
        <v>0.2</v>
      </c>
      <c r="O311" s="6">
        <v>0.2</v>
      </c>
      <c r="P311" s="6">
        <v>0.2</v>
      </c>
      <c r="Q311" s="6">
        <v>0.2</v>
      </c>
      <c r="R311" s="6">
        <v>0.4</v>
      </c>
      <c r="S311" s="6">
        <v>0.2</v>
      </c>
      <c r="T311" s="6">
        <v>0.2</v>
      </c>
      <c r="U311" s="2" t="s">
        <v>91</v>
      </c>
      <c r="V311" s="2" t="s">
        <v>91</v>
      </c>
      <c r="W311" s="2" t="s">
        <v>91</v>
      </c>
      <c r="X311" s="2" t="s">
        <v>91</v>
      </c>
      <c r="Y311" s="2" t="s">
        <v>91</v>
      </c>
      <c r="Z311" s="2" t="s">
        <v>91</v>
      </c>
      <c r="AA311" s="2" t="s">
        <v>91</v>
      </c>
      <c r="AB311" s="2" t="s">
        <v>91</v>
      </c>
      <c r="AC311" s="2" t="s">
        <v>91</v>
      </c>
      <c r="AD311" s="2" t="s">
        <v>91</v>
      </c>
      <c r="AE311" s="2" t="s">
        <v>91</v>
      </c>
      <c r="AF311" s="2" t="s">
        <v>91</v>
      </c>
      <c r="AG311" s="2" t="s">
        <v>91</v>
      </c>
      <c r="AH311" s="2" t="s">
        <v>91</v>
      </c>
      <c r="AI311" s="2" t="s">
        <v>91</v>
      </c>
    </row>
    <row r="312" ht="16.5" hidden="1" spans="1:35">
      <c r="A312" s="2" t="s">
        <v>17</v>
      </c>
      <c r="B312" s="2" t="s">
        <v>107</v>
      </c>
      <c r="C312" s="4">
        <v>1</v>
      </c>
      <c r="D312" s="2" t="s">
        <v>19</v>
      </c>
      <c r="E312" s="4">
        <v>1</v>
      </c>
      <c r="F312" s="4">
        <v>1</v>
      </c>
      <c r="G312" s="4">
        <v>1</v>
      </c>
      <c r="H312" s="4">
        <v>0</v>
      </c>
      <c r="I312" s="4">
        <v>0</v>
      </c>
      <c r="J312" s="4">
        <v>1</v>
      </c>
      <c r="K312" s="4">
        <v>1</v>
      </c>
      <c r="L312" s="4">
        <v>1</v>
      </c>
      <c r="M312" s="4">
        <v>1</v>
      </c>
      <c r="N312" s="4">
        <v>0</v>
      </c>
      <c r="O312" s="4">
        <v>1</v>
      </c>
      <c r="P312" s="4">
        <v>1</v>
      </c>
      <c r="Q312" s="4">
        <v>1</v>
      </c>
      <c r="R312" s="4">
        <v>1</v>
      </c>
      <c r="S312" s="4">
        <v>1</v>
      </c>
      <c r="T312" s="2" t="s">
        <v>91</v>
      </c>
      <c r="U312" s="2" t="s">
        <v>91</v>
      </c>
      <c r="V312" s="2" t="s">
        <v>91</v>
      </c>
      <c r="W312" s="2" t="s">
        <v>91</v>
      </c>
      <c r="X312" s="2" t="s">
        <v>91</v>
      </c>
      <c r="Y312" s="2" t="s">
        <v>91</v>
      </c>
      <c r="Z312" s="2" t="s">
        <v>91</v>
      </c>
      <c r="AA312" s="2" t="s">
        <v>91</v>
      </c>
      <c r="AB312" s="2" t="s">
        <v>91</v>
      </c>
      <c r="AC312" s="2" t="s">
        <v>91</v>
      </c>
      <c r="AD312" s="2" t="s">
        <v>91</v>
      </c>
      <c r="AE312" s="2" t="s">
        <v>91</v>
      </c>
      <c r="AF312" s="2" t="s">
        <v>91</v>
      </c>
      <c r="AG312" s="2" t="s">
        <v>91</v>
      </c>
      <c r="AH312" s="2" t="s">
        <v>91</v>
      </c>
      <c r="AI312" s="2" t="s">
        <v>91</v>
      </c>
    </row>
    <row r="313" ht="16.5" hidden="1" spans="1:35">
      <c r="A313" s="2" t="s">
        <v>17</v>
      </c>
      <c r="B313" s="2" t="s">
        <v>107</v>
      </c>
      <c r="C313" s="4">
        <v>1</v>
      </c>
      <c r="D313" s="2" t="s">
        <v>74</v>
      </c>
      <c r="E313" s="6">
        <v>1</v>
      </c>
      <c r="F313" s="6">
        <v>1</v>
      </c>
      <c r="G313" s="6">
        <v>1</v>
      </c>
      <c r="H313" s="6">
        <v>0</v>
      </c>
      <c r="I313" s="6">
        <v>0</v>
      </c>
      <c r="J313" s="6">
        <v>1</v>
      </c>
      <c r="K313" s="6">
        <v>1</v>
      </c>
      <c r="L313" s="6">
        <v>1</v>
      </c>
      <c r="M313" s="6">
        <v>1</v>
      </c>
      <c r="N313" s="6">
        <v>0</v>
      </c>
      <c r="O313" s="6">
        <v>1</v>
      </c>
      <c r="P313" s="6">
        <v>1</v>
      </c>
      <c r="Q313" s="6">
        <v>1</v>
      </c>
      <c r="R313" s="6">
        <v>1</v>
      </c>
      <c r="S313" s="6">
        <v>1</v>
      </c>
      <c r="T313" s="2" t="s">
        <v>91</v>
      </c>
      <c r="U313" s="2" t="s">
        <v>91</v>
      </c>
      <c r="V313" s="2" t="s">
        <v>91</v>
      </c>
      <c r="W313" s="2" t="s">
        <v>91</v>
      </c>
      <c r="X313" s="2" t="s">
        <v>91</v>
      </c>
      <c r="Y313" s="2" t="s">
        <v>91</v>
      </c>
      <c r="Z313" s="2" t="s">
        <v>91</v>
      </c>
      <c r="AA313" s="2" t="s">
        <v>91</v>
      </c>
      <c r="AB313" s="2" t="s">
        <v>91</v>
      </c>
      <c r="AC313" s="2" t="s">
        <v>91</v>
      </c>
      <c r="AD313" s="2" t="s">
        <v>91</v>
      </c>
      <c r="AE313" s="2" t="s">
        <v>91</v>
      </c>
      <c r="AF313" s="2" t="s">
        <v>91</v>
      </c>
      <c r="AG313" s="2" t="s">
        <v>91</v>
      </c>
      <c r="AH313" s="2" t="s">
        <v>91</v>
      </c>
      <c r="AI313" s="2" t="s">
        <v>91</v>
      </c>
    </row>
    <row r="314" ht="16.5" hidden="1" spans="1:35">
      <c r="A314" s="2" t="s">
        <v>21</v>
      </c>
      <c r="B314" s="2" t="s">
        <v>107</v>
      </c>
      <c r="C314" s="4">
        <v>1</v>
      </c>
      <c r="D314" s="2" t="s">
        <v>19</v>
      </c>
      <c r="E314" s="4">
        <v>1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1</v>
      </c>
      <c r="R314" s="4">
        <v>1</v>
      </c>
      <c r="S314" s="2" t="s">
        <v>91</v>
      </c>
      <c r="T314" s="2" t="s">
        <v>91</v>
      </c>
      <c r="U314" s="2" t="s">
        <v>91</v>
      </c>
      <c r="V314" s="2" t="s">
        <v>91</v>
      </c>
      <c r="W314" s="2" t="s">
        <v>91</v>
      </c>
      <c r="X314" s="2" t="s">
        <v>91</v>
      </c>
      <c r="Y314" s="2" t="s">
        <v>91</v>
      </c>
      <c r="Z314" s="2" t="s">
        <v>91</v>
      </c>
      <c r="AA314" s="2" t="s">
        <v>91</v>
      </c>
      <c r="AB314" s="2" t="s">
        <v>91</v>
      </c>
      <c r="AC314" s="2" t="s">
        <v>91</v>
      </c>
      <c r="AD314" s="2" t="s">
        <v>91</v>
      </c>
      <c r="AE314" s="2" t="s">
        <v>91</v>
      </c>
      <c r="AF314" s="2" t="s">
        <v>91</v>
      </c>
      <c r="AG314" s="2" t="s">
        <v>91</v>
      </c>
      <c r="AH314" s="2" t="s">
        <v>91</v>
      </c>
      <c r="AI314" s="2" t="s">
        <v>91</v>
      </c>
    </row>
    <row r="315" ht="16.5" hidden="1" spans="1:35">
      <c r="A315" s="2" t="s">
        <v>21</v>
      </c>
      <c r="B315" s="2" t="s">
        <v>107</v>
      </c>
      <c r="C315" s="4">
        <v>1</v>
      </c>
      <c r="D315" s="2" t="s">
        <v>74</v>
      </c>
      <c r="E315" s="6">
        <v>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1</v>
      </c>
      <c r="R315" s="6">
        <v>1</v>
      </c>
      <c r="S315" s="2" t="s">
        <v>91</v>
      </c>
      <c r="T315" s="2" t="s">
        <v>91</v>
      </c>
      <c r="U315" s="2" t="s">
        <v>91</v>
      </c>
      <c r="V315" s="2" t="s">
        <v>91</v>
      </c>
      <c r="W315" s="2" t="s">
        <v>91</v>
      </c>
      <c r="X315" s="2" t="s">
        <v>91</v>
      </c>
      <c r="Y315" s="2" t="s">
        <v>91</v>
      </c>
      <c r="Z315" s="2" t="s">
        <v>91</v>
      </c>
      <c r="AA315" s="2" t="s">
        <v>91</v>
      </c>
      <c r="AB315" s="2" t="s">
        <v>91</v>
      </c>
      <c r="AC315" s="2" t="s">
        <v>91</v>
      </c>
      <c r="AD315" s="2" t="s">
        <v>91</v>
      </c>
      <c r="AE315" s="2" t="s">
        <v>91</v>
      </c>
      <c r="AF315" s="2" t="s">
        <v>91</v>
      </c>
      <c r="AG315" s="2" t="s">
        <v>91</v>
      </c>
      <c r="AH315" s="2" t="s">
        <v>91</v>
      </c>
      <c r="AI315" s="2" t="s">
        <v>91</v>
      </c>
    </row>
    <row r="316" ht="16.5" hidden="1" spans="1:35">
      <c r="A316" s="2" t="s">
        <v>26</v>
      </c>
      <c r="B316" s="2" t="s">
        <v>107</v>
      </c>
      <c r="C316" s="4">
        <v>3</v>
      </c>
      <c r="D316" s="2" t="s">
        <v>19</v>
      </c>
      <c r="E316" s="4">
        <v>3</v>
      </c>
      <c r="F316" s="4">
        <v>1</v>
      </c>
      <c r="G316" s="4">
        <v>1</v>
      </c>
      <c r="H316" s="4">
        <v>1</v>
      </c>
      <c r="I316" s="4">
        <v>1</v>
      </c>
      <c r="J316" s="4">
        <v>0</v>
      </c>
      <c r="K316" s="4">
        <v>0</v>
      </c>
      <c r="L316" s="4">
        <v>1</v>
      </c>
      <c r="M316" s="4">
        <v>0</v>
      </c>
      <c r="N316" s="4">
        <v>0</v>
      </c>
      <c r="O316" s="4">
        <v>0</v>
      </c>
      <c r="P316" s="2" t="s">
        <v>91</v>
      </c>
      <c r="Q316" s="2" t="s">
        <v>91</v>
      </c>
      <c r="R316" s="2" t="s">
        <v>91</v>
      </c>
      <c r="S316" s="2" t="s">
        <v>91</v>
      </c>
      <c r="T316" s="2" t="s">
        <v>91</v>
      </c>
      <c r="U316" s="2" t="s">
        <v>91</v>
      </c>
      <c r="V316" s="2" t="s">
        <v>91</v>
      </c>
      <c r="W316" s="2" t="s">
        <v>91</v>
      </c>
      <c r="X316" s="2" t="s">
        <v>91</v>
      </c>
      <c r="Y316" s="2" t="s">
        <v>91</v>
      </c>
      <c r="Z316" s="2" t="s">
        <v>91</v>
      </c>
      <c r="AA316" s="2" t="s">
        <v>91</v>
      </c>
      <c r="AB316" s="2" t="s">
        <v>91</v>
      </c>
      <c r="AC316" s="2" t="s">
        <v>91</v>
      </c>
      <c r="AD316" s="2" t="s">
        <v>91</v>
      </c>
      <c r="AE316" s="2" t="s">
        <v>91</v>
      </c>
      <c r="AF316" s="2" t="s">
        <v>91</v>
      </c>
      <c r="AG316" s="2" t="s">
        <v>91</v>
      </c>
      <c r="AH316" s="2" t="s">
        <v>91</v>
      </c>
      <c r="AI316" s="2" t="s">
        <v>91</v>
      </c>
    </row>
    <row r="317" ht="16.5" hidden="1" spans="1:35">
      <c r="A317" s="2" t="s">
        <v>26</v>
      </c>
      <c r="B317" s="2" t="s">
        <v>107</v>
      </c>
      <c r="C317" s="4">
        <v>3</v>
      </c>
      <c r="D317" s="2" t="s">
        <v>74</v>
      </c>
      <c r="E317" s="6">
        <v>1</v>
      </c>
      <c r="F317" s="5">
        <v>0.3333</v>
      </c>
      <c r="G317" s="5">
        <v>0.3333</v>
      </c>
      <c r="H317" s="5">
        <v>0.3333</v>
      </c>
      <c r="I317" s="5">
        <v>0.3333</v>
      </c>
      <c r="J317" s="6">
        <v>0</v>
      </c>
      <c r="K317" s="6">
        <v>0</v>
      </c>
      <c r="L317" s="5">
        <v>0.3333</v>
      </c>
      <c r="M317" s="6">
        <v>0</v>
      </c>
      <c r="N317" s="6">
        <v>0</v>
      </c>
      <c r="O317" s="6">
        <v>0</v>
      </c>
      <c r="P317" s="2" t="s">
        <v>91</v>
      </c>
      <c r="Q317" s="2" t="s">
        <v>91</v>
      </c>
      <c r="R317" s="2" t="s">
        <v>91</v>
      </c>
      <c r="S317" s="2" t="s">
        <v>91</v>
      </c>
      <c r="T317" s="2" t="s">
        <v>91</v>
      </c>
      <c r="U317" s="2" t="s">
        <v>91</v>
      </c>
      <c r="V317" s="2" t="s">
        <v>91</v>
      </c>
      <c r="W317" s="2" t="s">
        <v>91</v>
      </c>
      <c r="X317" s="2" t="s">
        <v>91</v>
      </c>
      <c r="Y317" s="2" t="s">
        <v>91</v>
      </c>
      <c r="Z317" s="2" t="s">
        <v>91</v>
      </c>
      <c r="AA317" s="2" t="s">
        <v>91</v>
      </c>
      <c r="AB317" s="2" t="s">
        <v>91</v>
      </c>
      <c r="AC317" s="2" t="s">
        <v>91</v>
      </c>
      <c r="AD317" s="2" t="s">
        <v>91</v>
      </c>
      <c r="AE317" s="2" t="s">
        <v>91</v>
      </c>
      <c r="AF317" s="2" t="s">
        <v>91</v>
      </c>
      <c r="AG317" s="2" t="s">
        <v>91</v>
      </c>
      <c r="AH317" s="2" t="s">
        <v>91</v>
      </c>
      <c r="AI317" s="2" t="s">
        <v>91</v>
      </c>
    </row>
    <row r="318" ht="16.5" hidden="1" spans="1:35">
      <c r="A318" s="2" t="s">
        <v>28</v>
      </c>
      <c r="B318" s="2" t="s">
        <v>107</v>
      </c>
      <c r="C318" s="4">
        <v>3</v>
      </c>
      <c r="D318" s="2" t="s">
        <v>19</v>
      </c>
      <c r="E318" s="4">
        <v>3</v>
      </c>
      <c r="F318" s="4">
        <v>1</v>
      </c>
      <c r="G318" s="4">
        <v>1</v>
      </c>
      <c r="H318" s="4">
        <v>1</v>
      </c>
      <c r="I318" s="4">
        <v>0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2" t="s">
        <v>91</v>
      </c>
      <c r="P318" s="2" t="s">
        <v>91</v>
      </c>
      <c r="Q318" s="2" t="s">
        <v>91</v>
      </c>
      <c r="R318" s="2" t="s">
        <v>91</v>
      </c>
      <c r="S318" s="2" t="s">
        <v>91</v>
      </c>
      <c r="T318" s="2" t="s">
        <v>91</v>
      </c>
      <c r="U318" s="2" t="s">
        <v>91</v>
      </c>
      <c r="V318" s="2" t="s">
        <v>91</v>
      </c>
      <c r="W318" s="2" t="s">
        <v>91</v>
      </c>
      <c r="X318" s="2" t="s">
        <v>91</v>
      </c>
      <c r="Y318" s="2" t="s">
        <v>91</v>
      </c>
      <c r="Z318" s="2" t="s">
        <v>91</v>
      </c>
      <c r="AA318" s="2" t="s">
        <v>91</v>
      </c>
      <c r="AB318" s="2" t="s">
        <v>91</v>
      </c>
      <c r="AC318" s="2" t="s">
        <v>91</v>
      </c>
      <c r="AD318" s="2" t="s">
        <v>91</v>
      </c>
      <c r="AE318" s="2" t="s">
        <v>91</v>
      </c>
      <c r="AF318" s="2" t="s">
        <v>91</v>
      </c>
      <c r="AG318" s="2" t="s">
        <v>91</v>
      </c>
      <c r="AH318" s="2" t="s">
        <v>91</v>
      </c>
      <c r="AI318" s="2" t="s">
        <v>91</v>
      </c>
    </row>
    <row r="319" ht="16.5" hidden="1" spans="1:35">
      <c r="A319" s="2" t="s">
        <v>28</v>
      </c>
      <c r="B319" s="2" t="s">
        <v>107</v>
      </c>
      <c r="C319" s="4">
        <v>3</v>
      </c>
      <c r="D319" s="2" t="s">
        <v>74</v>
      </c>
      <c r="E319" s="6">
        <v>1</v>
      </c>
      <c r="F319" s="5">
        <v>0.3333</v>
      </c>
      <c r="G319" s="5">
        <v>0.3333</v>
      </c>
      <c r="H319" s="5">
        <v>0.3333</v>
      </c>
      <c r="I319" s="6">
        <v>0</v>
      </c>
      <c r="J319" s="6">
        <v>0</v>
      </c>
      <c r="K319" s="6">
        <v>0</v>
      </c>
      <c r="L319" s="6">
        <v>0</v>
      </c>
      <c r="M319" s="5">
        <v>0.3333</v>
      </c>
      <c r="N319" s="6">
        <v>0</v>
      </c>
      <c r="O319" s="2" t="s">
        <v>91</v>
      </c>
      <c r="P319" s="2" t="s">
        <v>91</v>
      </c>
      <c r="Q319" s="2" t="s">
        <v>91</v>
      </c>
      <c r="R319" s="2" t="s">
        <v>91</v>
      </c>
      <c r="S319" s="2" t="s">
        <v>91</v>
      </c>
      <c r="T319" s="2" t="s">
        <v>91</v>
      </c>
      <c r="U319" s="2" t="s">
        <v>91</v>
      </c>
      <c r="V319" s="2" t="s">
        <v>91</v>
      </c>
      <c r="W319" s="2" t="s">
        <v>91</v>
      </c>
      <c r="X319" s="2" t="s">
        <v>91</v>
      </c>
      <c r="Y319" s="2" t="s">
        <v>91</v>
      </c>
      <c r="Z319" s="2" t="s">
        <v>91</v>
      </c>
      <c r="AA319" s="2" t="s">
        <v>91</v>
      </c>
      <c r="AB319" s="2" t="s">
        <v>91</v>
      </c>
      <c r="AC319" s="2" t="s">
        <v>91</v>
      </c>
      <c r="AD319" s="2" t="s">
        <v>91</v>
      </c>
      <c r="AE319" s="2" t="s">
        <v>91</v>
      </c>
      <c r="AF319" s="2" t="s">
        <v>91</v>
      </c>
      <c r="AG319" s="2" t="s">
        <v>91</v>
      </c>
      <c r="AH319" s="2" t="s">
        <v>91</v>
      </c>
      <c r="AI319" s="2" t="s">
        <v>91</v>
      </c>
    </row>
    <row r="320" ht="16.5" hidden="1" spans="1:35">
      <c r="A320" s="2" t="s">
        <v>30</v>
      </c>
      <c r="B320" s="2" t="s">
        <v>107</v>
      </c>
      <c r="C320" s="4">
        <v>1</v>
      </c>
      <c r="D320" s="2" t="s">
        <v>19</v>
      </c>
      <c r="E320" s="4">
        <v>1</v>
      </c>
      <c r="F320" s="4">
        <v>1</v>
      </c>
      <c r="G320" s="4">
        <v>0</v>
      </c>
      <c r="H320" s="4">
        <v>1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2" t="s">
        <v>91</v>
      </c>
      <c r="O320" s="2" t="s">
        <v>91</v>
      </c>
      <c r="P320" s="2" t="s">
        <v>91</v>
      </c>
      <c r="Q320" s="2" t="s">
        <v>91</v>
      </c>
      <c r="R320" s="2" t="s">
        <v>91</v>
      </c>
      <c r="S320" s="2" t="s">
        <v>91</v>
      </c>
      <c r="T320" s="2" t="s">
        <v>91</v>
      </c>
      <c r="U320" s="2" t="s">
        <v>91</v>
      </c>
      <c r="V320" s="2" t="s">
        <v>91</v>
      </c>
      <c r="W320" s="2" t="s">
        <v>91</v>
      </c>
      <c r="X320" s="2" t="s">
        <v>91</v>
      </c>
      <c r="Y320" s="2" t="s">
        <v>91</v>
      </c>
      <c r="Z320" s="2" t="s">
        <v>91</v>
      </c>
      <c r="AA320" s="2" t="s">
        <v>91</v>
      </c>
      <c r="AB320" s="2" t="s">
        <v>91</v>
      </c>
      <c r="AC320" s="2" t="s">
        <v>91</v>
      </c>
      <c r="AD320" s="2" t="s">
        <v>91</v>
      </c>
      <c r="AE320" s="2" t="s">
        <v>91</v>
      </c>
      <c r="AF320" s="2" t="s">
        <v>91</v>
      </c>
      <c r="AG320" s="2" t="s">
        <v>91</v>
      </c>
      <c r="AH320" s="2" t="s">
        <v>91</v>
      </c>
      <c r="AI320" s="2" t="s">
        <v>91</v>
      </c>
    </row>
    <row r="321" ht="16.5" hidden="1" spans="1:35">
      <c r="A321" s="2" t="s">
        <v>30</v>
      </c>
      <c r="B321" s="2" t="s">
        <v>107</v>
      </c>
      <c r="C321" s="4">
        <v>1</v>
      </c>
      <c r="D321" s="2" t="s">
        <v>74</v>
      </c>
      <c r="E321" s="6">
        <v>1</v>
      </c>
      <c r="F321" s="6">
        <v>1</v>
      </c>
      <c r="G321" s="6">
        <v>0</v>
      </c>
      <c r="H321" s="6">
        <v>1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2" t="s">
        <v>91</v>
      </c>
      <c r="O321" s="2" t="s">
        <v>91</v>
      </c>
      <c r="P321" s="2" t="s">
        <v>91</v>
      </c>
      <c r="Q321" s="2" t="s">
        <v>91</v>
      </c>
      <c r="R321" s="2" t="s">
        <v>91</v>
      </c>
      <c r="S321" s="2" t="s">
        <v>91</v>
      </c>
      <c r="T321" s="2" t="s">
        <v>91</v>
      </c>
      <c r="U321" s="2" t="s">
        <v>91</v>
      </c>
      <c r="V321" s="2" t="s">
        <v>91</v>
      </c>
      <c r="W321" s="2" t="s">
        <v>91</v>
      </c>
      <c r="X321" s="2" t="s">
        <v>91</v>
      </c>
      <c r="Y321" s="2" t="s">
        <v>91</v>
      </c>
      <c r="Z321" s="2" t="s">
        <v>91</v>
      </c>
      <c r="AA321" s="2" t="s">
        <v>91</v>
      </c>
      <c r="AB321" s="2" t="s">
        <v>91</v>
      </c>
      <c r="AC321" s="2" t="s">
        <v>91</v>
      </c>
      <c r="AD321" s="2" t="s">
        <v>91</v>
      </c>
      <c r="AE321" s="2" t="s">
        <v>91</v>
      </c>
      <c r="AF321" s="2" t="s">
        <v>91</v>
      </c>
      <c r="AG321" s="2" t="s">
        <v>91</v>
      </c>
      <c r="AH321" s="2" t="s">
        <v>91</v>
      </c>
      <c r="AI321" s="2" t="s">
        <v>91</v>
      </c>
    </row>
    <row r="322" ht="16.5" hidden="1" spans="1:35">
      <c r="A322" s="2" t="s">
        <v>32</v>
      </c>
      <c r="B322" s="2" t="s">
        <v>107</v>
      </c>
      <c r="C322" s="4">
        <v>1</v>
      </c>
      <c r="D322" s="2" t="s">
        <v>19</v>
      </c>
      <c r="E322" s="4">
        <v>1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2" t="s">
        <v>91</v>
      </c>
      <c r="N322" s="2" t="s">
        <v>91</v>
      </c>
      <c r="O322" s="2" t="s">
        <v>91</v>
      </c>
      <c r="P322" s="2" t="s">
        <v>91</v>
      </c>
      <c r="Q322" s="2" t="s">
        <v>91</v>
      </c>
      <c r="R322" s="2" t="s">
        <v>91</v>
      </c>
      <c r="S322" s="2" t="s">
        <v>91</v>
      </c>
      <c r="T322" s="2" t="s">
        <v>91</v>
      </c>
      <c r="U322" s="2" t="s">
        <v>91</v>
      </c>
      <c r="V322" s="2" t="s">
        <v>91</v>
      </c>
      <c r="W322" s="2" t="s">
        <v>91</v>
      </c>
      <c r="X322" s="2" t="s">
        <v>91</v>
      </c>
      <c r="Y322" s="2" t="s">
        <v>91</v>
      </c>
      <c r="Z322" s="2" t="s">
        <v>91</v>
      </c>
      <c r="AA322" s="2" t="s">
        <v>91</v>
      </c>
      <c r="AB322" s="2" t="s">
        <v>91</v>
      </c>
      <c r="AC322" s="2" t="s">
        <v>91</v>
      </c>
      <c r="AD322" s="2" t="s">
        <v>91</v>
      </c>
      <c r="AE322" s="2" t="s">
        <v>91</v>
      </c>
      <c r="AF322" s="2" t="s">
        <v>91</v>
      </c>
      <c r="AG322" s="2" t="s">
        <v>91</v>
      </c>
      <c r="AH322" s="2" t="s">
        <v>91</v>
      </c>
      <c r="AI322" s="2" t="s">
        <v>91</v>
      </c>
    </row>
    <row r="323" ht="16.5" hidden="1" spans="1:35">
      <c r="A323" s="2" t="s">
        <v>32</v>
      </c>
      <c r="B323" s="2" t="s">
        <v>107</v>
      </c>
      <c r="C323" s="4">
        <v>1</v>
      </c>
      <c r="D323" s="2" t="s">
        <v>74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2" t="s">
        <v>91</v>
      </c>
      <c r="N323" s="2" t="s">
        <v>91</v>
      </c>
      <c r="O323" s="2" t="s">
        <v>91</v>
      </c>
      <c r="P323" s="2" t="s">
        <v>91</v>
      </c>
      <c r="Q323" s="2" t="s">
        <v>91</v>
      </c>
      <c r="R323" s="2" t="s">
        <v>91</v>
      </c>
      <c r="S323" s="2" t="s">
        <v>91</v>
      </c>
      <c r="T323" s="2" t="s">
        <v>91</v>
      </c>
      <c r="U323" s="2" t="s">
        <v>91</v>
      </c>
      <c r="V323" s="2" t="s">
        <v>91</v>
      </c>
      <c r="W323" s="2" t="s">
        <v>91</v>
      </c>
      <c r="X323" s="2" t="s">
        <v>91</v>
      </c>
      <c r="Y323" s="2" t="s">
        <v>91</v>
      </c>
      <c r="Z323" s="2" t="s">
        <v>91</v>
      </c>
      <c r="AA323" s="2" t="s">
        <v>91</v>
      </c>
      <c r="AB323" s="2" t="s">
        <v>91</v>
      </c>
      <c r="AC323" s="2" t="s">
        <v>91</v>
      </c>
      <c r="AD323" s="2" t="s">
        <v>91</v>
      </c>
      <c r="AE323" s="2" t="s">
        <v>91</v>
      </c>
      <c r="AF323" s="2" t="s">
        <v>91</v>
      </c>
      <c r="AG323" s="2" t="s">
        <v>91</v>
      </c>
      <c r="AH323" s="2" t="s">
        <v>91</v>
      </c>
      <c r="AI323" s="2" t="s">
        <v>91</v>
      </c>
    </row>
    <row r="324" ht="16.5" hidden="1" spans="1:35">
      <c r="A324" s="2" t="s">
        <v>98</v>
      </c>
      <c r="B324" s="2" t="s">
        <v>107</v>
      </c>
      <c r="C324" s="4">
        <v>1</v>
      </c>
      <c r="D324" s="2" t="s">
        <v>19</v>
      </c>
      <c r="E324" s="4">
        <v>1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2" t="s">
        <v>91</v>
      </c>
      <c r="M324" s="2" t="s">
        <v>91</v>
      </c>
      <c r="N324" s="2" t="s">
        <v>91</v>
      </c>
      <c r="O324" s="2" t="s">
        <v>91</v>
      </c>
      <c r="P324" s="2" t="s">
        <v>91</v>
      </c>
      <c r="Q324" s="2" t="s">
        <v>91</v>
      </c>
      <c r="R324" s="2" t="s">
        <v>91</v>
      </c>
      <c r="S324" s="2" t="s">
        <v>91</v>
      </c>
      <c r="T324" s="2" t="s">
        <v>91</v>
      </c>
      <c r="U324" s="2" t="s">
        <v>91</v>
      </c>
      <c r="V324" s="2" t="s">
        <v>91</v>
      </c>
      <c r="W324" s="2" t="s">
        <v>91</v>
      </c>
      <c r="X324" s="2" t="s">
        <v>91</v>
      </c>
      <c r="Y324" s="2" t="s">
        <v>91</v>
      </c>
      <c r="Z324" s="2" t="s">
        <v>91</v>
      </c>
      <c r="AA324" s="2" t="s">
        <v>91</v>
      </c>
      <c r="AB324" s="2" t="s">
        <v>91</v>
      </c>
      <c r="AC324" s="2" t="s">
        <v>91</v>
      </c>
      <c r="AD324" s="2" t="s">
        <v>91</v>
      </c>
      <c r="AE324" s="2" t="s">
        <v>91</v>
      </c>
      <c r="AF324" s="2" t="s">
        <v>91</v>
      </c>
      <c r="AG324" s="2" t="s">
        <v>91</v>
      </c>
      <c r="AH324" s="2" t="s">
        <v>91</v>
      </c>
      <c r="AI324" s="2" t="s">
        <v>91</v>
      </c>
    </row>
    <row r="325" ht="16.5" hidden="1" spans="1:35">
      <c r="A325" s="2" t="s">
        <v>98</v>
      </c>
      <c r="B325" s="2" t="s">
        <v>107</v>
      </c>
      <c r="C325" s="4">
        <v>1</v>
      </c>
      <c r="D325" s="2" t="s">
        <v>74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2" t="s">
        <v>91</v>
      </c>
      <c r="M325" s="2" t="s">
        <v>91</v>
      </c>
      <c r="N325" s="2" t="s">
        <v>91</v>
      </c>
      <c r="O325" s="2" t="s">
        <v>91</v>
      </c>
      <c r="P325" s="2" t="s">
        <v>91</v>
      </c>
      <c r="Q325" s="2" t="s">
        <v>91</v>
      </c>
      <c r="R325" s="2" t="s">
        <v>91</v>
      </c>
      <c r="S325" s="2" t="s">
        <v>91</v>
      </c>
      <c r="T325" s="2" t="s">
        <v>91</v>
      </c>
      <c r="U325" s="2" t="s">
        <v>91</v>
      </c>
      <c r="V325" s="2" t="s">
        <v>91</v>
      </c>
      <c r="W325" s="2" t="s">
        <v>91</v>
      </c>
      <c r="X325" s="2" t="s">
        <v>91</v>
      </c>
      <c r="Y325" s="2" t="s">
        <v>91</v>
      </c>
      <c r="Z325" s="2" t="s">
        <v>91</v>
      </c>
      <c r="AA325" s="2" t="s">
        <v>91</v>
      </c>
      <c r="AB325" s="2" t="s">
        <v>91</v>
      </c>
      <c r="AC325" s="2" t="s">
        <v>91</v>
      </c>
      <c r="AD325" s="2" t="s">
        <v>91</v>
      </c>
      <c r="AE325" s="2" t="s">
        <v>91</v>
      </c>
      <c r="AF325" s="2" t="s">
        <v>91</v>
      </c>
      <c r="AG325" s="2" t="s">
        <v>91</v>
      </c>
      <c r="AH325" s="2" t="s">
        <v>91</v>
      </c>
      <c r="AI325" s="2" t="s">
        <v>91</v>
      </c>
    </row>
    <row r="326" ht="16.5" hidden="1" spans="1:35">
      <c r="A326" s="2" t="s">
        <v>99</v>
      </c>
      <c r="B326" s="2" t="s">
        <v>107</v>
      </c>
      <c r="C326" s="4">
        <v>1</v>
      </c>
      <c r="D326" s="2" t="s">
        <v>19</v>
      </c>
      <c r="E326" s="4">
        <v>1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2" t="s">
        <v>91</v>
      </c>
      <c r="L326" s="2" t="s">
        <v>91</v>
      </c>
      <c r="M326" s="2" t="s">
        <v>91</v>
      </c>
      <c r="N326" s="2" t="s">
        <v>91</v>
      </c>
      <c r="O326" s="2" t="s">
        <v>91</v>
      </c>
      <c r="P326" s="2" t="s">
        <v>91</v>
      </c>
      <c r="Q326" s="2" t="s">
        <v>91</v>
      </c>
      <c r="R326" s="2" t="s">
        <v>91</v>
      </c>
      <c r="S326" s="2" t="s">
        <v>91</v>
      </c>
      <c r="T326" s="2" t="s">
        <v>91</v>
      </c>
      <c r="U326" s="2" t="s">
        <v>91</v>
      </c>
      <c r="V326" s="2" t="s">
        <v>91</v>
      </c>
      <c r="W326" s="2" t="s">
        <v>91</v>
      </c>
      <c r="X326" s="2" t="s">
        <v>91</v>
      </c>
      <c r="Y326" s="2" t="s">
        <v>91</v>
      </c>
      <c r="Z326" s="2" t="s">
        <v>91</v>
      </c>
      <c r="AA326" s="2" t="s">
        <v>91</v>
      </c>
      <c r="AB326" s="2" t="s">
        <v>91</v>
      </c>
      <c r="AC326" s="2" t="s">
        <v>91</v>
      </c>
      <c r="AD326" s="2" t="s">
        <v>91</v>
      </c>
      <c r="AE326" s="2" t="s">
        <v>91</v>
      </c>
      <c r="AF326" s="2" t="s">
        <v>91</v>
      </c>
      <c r="AG326" s="2" t="s">
        <v>91</v>
      </c>
      <c r="AH326" s="2" t="s">
        <v>91</v>
      </c>
      <c r="AI326" s="2" t="s">
        <v>91</v>
      </c>
    </row>
    <row r="327" ht="16.5" hidden="1" spans="1:35">
      <c r="A327" s="2" t="s">
        <v>99</v>
      </c>
      <c r="B327" s="2" t="s">
        <v>107</v>
      </c>
      <c r="C327" s="4">
        <v>1</v>
      </c>
      <c r="D327" s="2" t="s">
        <v>74</v>
      </c>
      <c r="E327" s="6">
        <v>1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2" t="s">
        <v>91</v>
      </c>
      <c r="L327" s="2" t="s">
        <v>91</v>
      </c>
      <c r="M327" s="2" t="s">
        <v>91</v>
      </c>
      <c r="N327" s="2" t="s">
        <v>91</v>
      </c>
      <c r="O327" s="2" t="s">
        <v>91</v>
      </c>
      <c r="P327" s="2" t="s">
        <v>91</v>
      </c>
      <c r="Q327" s="2" t="s">
        <v>91</v>
      </c>
      <c r="R327" s="2" t="s">
        <v>91</v>
      </c>
      <c r="S327" s="2" t="s">
        <v>91</v>
      </c>
      <c r="T327" s="2" t="s">
        <v>91</v>
      </c>
      <c r="U327" s="2" t="s">
        <v>91</v>
      </c>
      <c r="V327" s="2" t="s">
        <v>91</v>
      </c>
      <c r="W327" s="2" t="s">
        <v>91</v>
      </c>
      <c r="X327" s="2" t="s">
        <v>91</v>
      </c>
      <c r="Y327" s="2" t="s">
        <v>91</v>
      </c>
      <c r="Z327" s="2" t="s">
        <v>91</v>
      </c>
      <c r="AA327" s="2" t="s">
        <v>91</v>
      </c>
      <c r="AB327" s="2" t="s">
        <v>91</v>
      </c>
      <c r="AC327" s="2" t="s">
        <v>91</v>
      </c>
      <c r="AD327" s="2" t="s">
        <v>91</v>
      </c>
      <c r="AE327" s="2" t="s">
        <v>91</v>
      </c>
      <c r="AF327" s="2" t="s">
        <v>91</v>
      </c>
      <c r="AG327" s="2" t="s">
        <v>91</v>
      </c>
      <c r="AH327" s="2" t="s">
        <v>91</v>
      </c>
      <c r="AI327" s="2" t="s">
        <v>91</v>
      </c>
    </row>
    <row r="328" ht="16.5" hidden="1" spans="1:35">
      <c r="A328" s="2" t="s">
        <v>100</v>
      </c>
      <c r="B328" s="2" t="s">
        <v>107</v>
      </c>
      <c r="C328" s="4">
        <v>1</v>
      </c>
      <c r="D328" s="2" t="s">
        <v>19</v>
      </c>
      <c r="E328" s="4">
        <v>1</v>
      </c>
      <c r="F328" s="4">
        <v>0</v>
      </c>
      <c r="G328" s="4">
        <v>0</v>
      </c>
      <c r="H328" s="4">
        <v>0</v>
      </c>
      <c r="I328" s="4">
        <v>1</v>
      </c>
      <c r="J328" s="2" t="s">
        <v>91</v>
      </c>
      <c r="K328" s="2" t="s">
        <v>91</v>
      </c>
      <c r="L328" s="2" t="s">
        <v>91</v>
      </c>
      <c r="M328" s="2" t="s">
        <v>91</v>
      </c>
      <c r="N328" s="2" t="s">
        <v>91</v>
      </c>
      <c r="O328" s="2" t="s">
        <v>91</v>
      </c>
      <c r="P328" s="2" t="s">
        <v>91</v>
      </c>
      <c r="Q328" s="2" t="s">
        <v>91</v>
      </c>
      <c r="R328" s="2" t="s">
        <v>91</v>
      </c>
      <c r="S328" s="2" t="s">
        <v>91</v>
      </c>
      <c r="T328" s="2" t="s">
        <v>91</v>
      </c>
      <c r="U328" s="2" t="s">
        <v>91</v>
      </c>
      <c r="V328" s="2" t="s">
        <v>91</v>
      </c>
      <c r="W328" s="2" t="s">
        <v>91</v>
      </c>
      <c r="X328" s="2" t="s">
        <v>91</v>
      </c>
      <c r="Y328" s="2" t="s">
        <v>91</v>
      </c>
      <c r="Z328" s="2" t="s">
        <v>91</v>
      </c>
      <c r="AA328" s="2" t="s">
        <v>91</v>
      </c>
      <c r="AB328" s="2" t="s">
        <v>91</v>
      </c>
      <c r="AC328" s="2" t="s">
        <v>91</v>
      </c>
      <c r="AD328" s="2" t="s">
        <v>91</v>
      </c>
      <c r="AE328" s="2" t="s">
        <v>91</v>
      </c>
      <c r="AF328" s="2" t="s">
        <v>91</v>
      </c>
      <c r="AG328" s="2" t="s">
        <v>91</v>
      </c>
      <c r="AH328" s="2" t="s">
        <v>91</v>
      </c>
      <c r="AI328" s="2" t="s">
        <v>91</v>
      </c>
    </row>
    <row r="329" ht="16.5" hidden="1" spans="1:35">
      <c r="A329" s="2" t="s">
        <v>100</v>
      </c>
      <c r="B329" s="2" t="s">
        <v>107</v>
      </c>
      <c r="C329" s="4">
        <v>1</v>
      </c>
      <c r="D329" s="2" t="s">
        <v>74</v>
      </c>
      <c r="E329" s="6">
        <v>1</v>
      </c>
      <c r="F329" s="6">
        <v>0</v>
      </c>
      <c r="G329" s="6">
        <v>0</v>
      </c>
      <c r="H329" s="6">
        <v>0</v>
      </c>
      <c r="I329" s="6">
        <v>1</v>
      </c>
      <c r="J329" s="2" t="s">
        <v>91</v>
      </c>
      <c r="K329" s="2" t="s">
        <v>91</v>
      </c>
      <c r="L329" s="2" t="s">
        <v>91</v>
      </c>
      <c r="M329" s="2" t="s">
        <v>91</v>
      </c>
      <c r="N329" s="2" t="s">
        <v>91</v>
      </c>
      <c r="O329" s="2" t="s">
        <v>91</v>
      </c>
      <c r="P329" s="2" t="s">
        <v>91</v>
      </c>
      <c r="Q329" s="2" t="s">
        <v>91</v>
      </c>
      <c r="R329" s="2" t="s">
        <v>91</v>
      </c>
      <c r="S329" s="2" t="s">
        <v>91</v>
      </c>
      <c r="T329" s="2" t="s">
        <v>91</v>
      </c>
      <c r="U329" s="2" t="s">
        <v>91</v>
      </c>
      <c r="V329" s="2" t="s">
        <v>91</v>
      </c>
      <c r="W329" s="2" t="s">
        <v>91</v>
      </c>
      <c r="X329" s="2" t="s">
        <v>91</v>
      </c>
      <c r="Y329" s="2" t="s">
        <v>91</v>
      </c>
      <c r="Z329" s="2" t="s">
        <v>91</v>
      </c>
      <c r="AA329" s="2" t="s">
        <v>91</v>
      </c>
      <c r="AB329" s="2" t="s">
        <v>91</v>
      </c>
      <c r="AC329" s="2" t="s">
        <v>91</v>
      </c>
      <c r="AD329" s="2" t="s">
        <v>91</v>
      </c>
      <c r="AE329" s="2" t="s">
        <v>91</v>
      </c>
      <c r="AF329" s="2" t="s">
        <v>91</v>
      </c>
      <c r="AG329" s="2" t="s">
        <v>91</v>
      </c>
      <c r="AH329" s="2" t="s">
        <v>91</v>
      </c>
      <c r="AI329" s="2" t="s">
        <v>91</v>
      </c>
    </row>
    <row r="330" ht="16.5" hidden="1" spans="1:35">
      <c r="A330" s="2" t="s">
        <v>101</v>
      </c>
      <c r="B330" s="2" t="s">
        <v>107</v>
      </c>
      <c r="C330" s="4">
        <v>3</v>
      </c>
      <c r="D330" s="2" t="s">
        <v>19</v>
      </c>
      <c r="E330" s="4">
        <v>3</v>
      </c>
      <c r="F330" s="4">
        <v>1</v>
      </c>
      <c r="G330" s="4">
        <v>1</v>
      </c>
      <c r="H330" s="4">
        <v>1</v>
      </c>
      <c r="I330" s="2" t="s">
        <v>91</v>
      </c>
      <c r="J330" s="2" t="s">
        <v>91</v>
      </c>
      <c r="K330" s="2" t="s">
        <v>91</v>
      </c>
      <c r="L330" s="2" t="s">
        <v>91</v>
      </c>
      <c r="M330" s="2" t="s">
        <v>91</v>
      </c>
      <c r="N330" s="2" t="s">
        <v>91</v>
      </c>
      <c r="O330" s="2" t="s">
        <v>91</v>
      </c>
      <c r="P330" s="2" t="s">
        <v>91</v>
      </c>
      <c r="Q330" s="2" t="s">
        <v>91</v>
      </c>
      <c r="R330" s="2" t="s">
        <v>91</v>
      </c>
      <c r="S330" s="2" t="s">
        <v>91</v>
      </c>
      <c r="T330" s="2" t="s">
        <v>91</v>
      </c>
      <c r="U330" s="2" t="s">
        <v>91</v>
      </c>
      <c r="V330" s="2" t="s">
        <v>91</v>
      </c>
      <c r="W330" s="2" t="s">
        <v>91</v>
      </c>
      <c r="X330" s="2" t="s">
        <v>91</v>
      </c>
      <c r="Y330" s="2" t="s">
        <v>91</v>
      </c>
      <c r="Z330" s="2" t="s">
        <v>91</v>
      </c>
      <c r="AA330" s="2" t="s">
        <v>91</v>
      </c>
      <c r="AB330" s="2" t="s">
        <v>91</v>
      </c>
      <c r="AC330" s="2" t="s">
        <v>91</v>
      </c>
      <c r="AD330" s="2" t="s">
        <v>91</v>
      </c>
      <c r="AE330" s="2" t="s">
        <v>91</v>
      </c>
      <c r="AF330" s="2" t="s">
        <v>91</v>
      </c>
      <c r="AG330" s="2" t="s">
        <v>91</v>
      </c>
      <c r="AH330" s="2" t="s">
        <v>91</v>
      </c>
      <c r="AI330" s="2" t="s">
        <v>91</v>
      </c>
    </row>
    <row r="331" ht="16.5" hidden="1" spans="1:35">
      <c r="A331" s="2" t="s">
        <v>101</v>
      </c>
      <c r="B331" s="2" t="s">
        <v>107</v>
      </c>
      <c r="C331" s="4">
        <v>3</v>
      </c>
      <c r="D331" s="2" t="s">
        <v>74</v>
      </c>
      <c r="E331" s="6">
        <v>1</v>
      </c>
      <c r="F331" s="5">
        <v>0.3333</v>
      </c>
      <c r="G331" s="5">
        <v>0.3333</v>
      </c>
      <c r="H331" s="5">
        <v>0.3333</v>
      </c>
      <c r="I331" s="2" t="s">
        <v>91</v>
      </c>
      <c r="J331" s="2" t="s">
        <v>91</v>
      </c>
      <c r="K331" s="2" t="s">
        <v>91</v>
      </c>
      <c r="L331" s="2" t="s">
        <v>91</v>
      </c>
      <c r="M331" s="2" t="s">
        <v>91</v>
      </c>
      <c r="N331" s="2" t="s">
        <v>91</v>
      </c>
      <c r="O331" s="2" t="s">
        <v>91</v>
      </c>
      <c r="P331" s="2" t="s">
        <v>91</v>
      </c>
      <c r="Q331" s="2" t="s">
        <v>91</v>
      </c>
      <c r="R331" s="2" t="s">
        <v>91</v>
      </c>
      <c r="S331" s="2" t="s">
        <v>91</v>
      </c>
      <c r="T331" s="2" t="s">
        <v>91</v>
      </c>
      <c r="U331" s="2" t="s">
        <v>91</v>
      </c>
      <c r="V331" s="2" t="s">
        <v>91</v>
      </c>
      <c r="W331" s="2" t="s">
        <v>91</v>
      </c>
      <c r="X331" s="2" t="s">
        <v>91</v>
      </c>
      <c r="Y331" s="2" t="s">
        <v>91</v>
      </c>
      <c r="Z331" s="2" t="s">
        <v>91</v>
      </c>
      <c r="AA331" s="2" t="s">
        <v>91</v>
      </c>
      <c r="AB331" s="2" t="s">
        <v>91</v>
      </c>
      <c r="AC331" s="2" t="s">
        <v>91</v>
      </c>
      <c r="AD331" s="2" t="s">
        <v>91</v>
      </c>
      <c r="AE331" s="2" t="s">
        <v>91</v>
      </c>
      <c r="AF331" s="2" t="s">
        <v>91</v>
      </c>
      <c r="AG331" s="2" t="s">
        <v>91</v>
      </c>
      <c r="AH331" s="2" t="s">
        <v>91</v>
      </c>
      <c r="AI331" s="2" t="s">
        <v>91</v>
      </c>
    </row>
    <row r="332" ht="16.5" hidden="1" spans="1:35">
      <c r="A332" s="2" t="s">
        <v>102</v>
      </c>
      <c r="B332" s="2" t="s">
        <v>107</v>
      </c>
      <c r="C332" s="4">
        <v>1</v>
      </c>
      <c r="D332" s="2" t="s">
        <v>19</v>
      </c>
      <c r="E332" s="4">
        <v>1</v>
      </c>
      <c r="F332" s="4">
        <v>0</v>
      </c>
      <c r="G332" s="4">
        <v>0</v>
      </c>
      <c r="H332" s="2" t="s">
        <v>91</v>
      </c>
      <c r="I332" s="2" t="s">
        <v>91</v>
      </c>
      <c r="J332" s="2" t="s">
        <v>91</v>
      </c>
      <c r="K332" s="2" t="s">
        <v>91</v>
      </c>
      <c r="L332" s="2" t="s">
        <v>91</v>
      </c>
      <c r="M332" s="2" t="s">
        <v>91</v>
      </c>
      <c r="N332" s="2" t="s">
        <v>91</v>
      </c>
      <c r="O332" s="2" t="s">
        <v>91</v>
      </c>
      <c r="P332" s="2" t="s">
        <v>91</v>
      </c>
      <c r="Q332" s="2" t="s">
        <v>91</v>
      </c>
      <c r="R332" s="2" t="s">
        <v>91</v>
      </c>
      <c r="S332" s="2" t="s">
        <v>91</v>
      </c>
      <c r="T332" s="2" t="s">
        <v>91</v>
      </c>
      <c r="U332" s="2" t="s">
        <v>91</v>
      </c>
      <c r="V332" s="2" t="s">
        <v>91</v>
      </c>
      <c r="W332" s="2" t="s">
        <v>91</v>
      </c>
      <c r="X332" s="2" t="s">
        <v>91</v>
      </c>
      <c r="Y332" s="2" t="s">
        <v>91</v>
      </c>
      <c r="Z332" s="2" t="s">
        <v>91</v>
      </c>
      <c r="AA332" s="2" t="s">
        <v>91</v>
      </c>
      <c r="AB332" s="2" t="s">
        <v>91</v>
      </c>
      <c r="AC332" s="2" t="s">
        <v>91</v>
      </c>
      <c r="AD332" s="2" t="s">
        <v>91</v>
      </c>
      <c r="AE332" s="2" t="s">
        <v>91</v>
      </c>
      <c r="AF332" s="2" t="s">
        <v>91</v>
      </c>
      <c r="AG332" s="2" t="s">
        <v>91</v>
      </c>
      <c r="AH332" s="2" t="s">
        <v>91</v>
      </c>
      <c r="AI332" s="2" t="s">
        <v>91</v>
      </c>
    </row>
    <row r="333" ht="16.5" hidden="1" spans="1:35">
      <c r="A333" s="2" t="s">
        <v>102</v>
      </c>
      <c r="B333" s="2" t="s">
        <v>107</v>
      </c>
      <c r="C333" s="4">
        <v>1</v>
      </c>
      <c r="D333" s="2" t="s">
        <v>74</v>
      </c>
      <c r="E333" s="6">
        <v>1</v>
      </c>
      <c r="F333" s="6">
        <v>0</v>
      </c>
      <c r="G333" s="6">
        <v>0</v>
      </c>
      <c r="H333" s="2" t="s">
        <v>91</v>
      </c>
      <c r="I333" s="2" t="s">
        <v>91</v>
      </c>
      <c r="J333" s="2" t="s">
        <v>91</v>
      </c>
      <c r="K333" s="2" t="s">
        <v>91</v>
      </c>
      <c r="L333" s="2" t="s">
        <v>91</v>
      </c>
      <c r="M333" s="2" t="s">
        <v>91</v>
      </c>
      <c r="N333" s="2" t="s">
        <v>91</v>
      </c>
      <c r="O333" s="2" t="s">
        <v>91</v>
      </c>
      <c r="P333" s="2" t="s">
        <v>91</v>
      </c>
      <c r="Q333" s="2" t="s">
        <v>91</v>
      </c>
      <c r="R333" s="2" t="s">
        <v>91</v>
      </c>
      <c r="S333" s="2" t="s">
        <v>91</v>
      </c>
      <c r="T333" s="2" t="s">
        <v>91</v>
      </c>
      <c r="U333" s="2" t="s">
        <v>91</v>
      </c>
      <c r="V333" s="2" t="s">
        <v>91</v>
      </c>
      <c r="W333" s="2" t="s">
        <v>91</v>
      </c>
      <c r="X333" s="2" t="s">
        <v>91</v>
      </c>
      <c r="Y333" s="2" t="s">
        <v>91</v>
      </c>
      <c r="Z333" s="2" t="s">
        <v>91</v>
      </c>
      <c r="AA333" s="2" t="s">
        <v>91</v>
      </c>
      <c r="AB333" s="2" t="s">
        <v>91</v>
      </c>
      <c r="AC333" s="2" t="s">
        <v>91</v>
      </c>
      <c r="AD333" s="2" t="s">
        <v>91</v>
      </c>
      <c r="AE333" s="2" t="s">
        <v>91</v>
      </c>
      <c r="AF333" s="2" t="s">
        <v>91</v>
      </c>
      <c r="AG333" s="2" t="s">
        <v>91</v>
      </c>
      <c r="AH333" s="2" t="s">
        <v>91</v>
      </c>
      <c r="AI333" s="2" t="s">
        <v>91</v>
      </c>
    </row>
    <row r="334" ht="16.5" hidden="1" spans="1:35">
      <c r="A334" s="2" t="s">
        <v>72</v>
      </c>
      <c r="B334" s="2" t="s">
        <v>108</v>
      </c>
      <c r="C334" s="4">
        <v>3</v>
      </c>
      <c r="D334" s="2" t="s">
        <v>19</v>
      </c>
      <c r="E334" s="4">
        <v>3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1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</row>
    <row r="335" ht="16.5" hidden="1" spans="1:35">
      <c r="A335" s="2" t="s">
        <v>72</v>
      </c>
      <c r="B335" s="2" t="s">
        <v>108</v>
      </c>
      <c r="C335" s="4">
        <v>3</v>
      </c>
      <c r="D335" s="2" t="s">
        <v>74</v>
      </c>
      <c r="E335" s="6">
        <v>1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5">
        <v>0.3333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</row>
    <row r="336" ht="16.5" hidden="1" spans="1:35">
      <c r="A336" s="2" t="s">
        <v>77</v>
      </c>
      <c r="B336" s="2" t="s">
        <v>108</v>
      </c>
      <c r="C336" s="4">
        <v>1</v>
      </c>
      <c r="D336" s="2" t="s">
        <v>19</v>
      </c>
      <c r="E336" s="4">
        <v>1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</row>
    <row r="337" ht="16.5" hidden="1" spans="1:35">
      <c r="A337" s="2" t="s">
        <v>77</v>
      </c>
      <c r="B337" s="2" t="s">
        <v>108</v>
      </c>
      <c r="C337" s="4">
        <v>1</v>
      </c>
      <c r="D337" s="2" t="s">
        <v>74</v>
      </c>
      <c r="E337" s="6">
        <v>1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</row>
    <row r="338" ht="16.5" hidden="1" spans="1:35">
      <c r="A338" s="2" t="s">
        <v>89</v>
      </c>
      <c r="B338" s="2" t="s">
        <v>108</v>
      </c>
      <c r="C338" s="4">
        <v>1</v>
      </c>
      <c r="D338" s="2" t="s">
        <v>19</v>
      </c>
      <c r="E338" s="4">
        <v>1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</row>
    <row r="339" ht="16.5" hidden="1" spans="1:35">
      <c r="A339" s="2" t="s">
        <v>89</v>
      </c>
      <c r="B339" s="2" t="s">
        <v>108</v>
      </c>
      <c r="C339" s="4">
        <v>1</v>
      </c>
      <c r="D339" s="2" t="s">
        <v>74</v>
      </c>
      <c r="E339" s="6">
        <v>1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1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</row>
    <row r="340" ht="16.5" hidden="1" spans="1:35">
      <c r="A340" s="2" t="s">
        <v>33</v>
      </c>
      <c r="B340" s="2" t="s">
        <v>108</v>
      </c>
      <c r="C340" s="4">
        <v>1</v>
      </c>
      <c r="D340" s="2" t="s">
        <v>19</v>
      </c>
      <c r="E340" s="4">
        <v>1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2" t="s">
        <v>91</v>
      </c>
      <c r="AD340" s="2" t="s">
        <v>91</v>
      </c>
      <c r="AE340" s="2" t="s">
        <v>91</v>
      </c>
      <c r="AF340" s="2" t="s">
        <v>91</v>
      </c>
      <c r="AG340" s="2" t="s">
        <v>91</v>
      </c>
      <c r="AH340" s="2" t="s">
        <v>91</v>
      </c>
      <c r="AI340" s="2" t="s">
        <v>91</v>
      </c>
    </row>
    <row r="341" ht="16.5" hidden="1" spans="1:35">
      <c r="A341" s="2" t="s">
        <v>33</v>
      </c>
      <c r="B341" s="2" t="s">
        <v>108</v>
      </c>
      <c r="C341" s="4">
        <v>1</v>
      </c>
      <c r="D341" s="2" t="s">
        <v>74</v>
      </c>
      <c r="E341" s="6">
        <v>1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2" t="s">
        <v>91</v>
      </c>
      <c r="AD341" s="2" t="s">
        <v>91</v>
      </c>
      <c r="AE341" s="2" t="s">
        <v>91</v>
      </c>
      <c r="AF341" s="2" t="s">
        <v>91</v>
      </c>
      <c r="AG341" s="2" t="s">
        <v>91</v>
      </c>
      <c r="AH341" s="2" t="s">
        <v>91</v>
      </c>
      <c r="AI341" s="2" t="s">
        <v>91</v>
      </c>
    </row>
    <row r="342" ht="16.5" hidden="1" spans="1:35">
      <c r="A342" s="2" t="s">
        <v>72</v>
      </c>
      <c r="B342" s="2" t="s">
        <v>109</v>
      </c>
      <c r="C342" s="4">
        <v>1</v>
      </c>
      <c r="D342" s="2" t="s">
        <v>19</v>
      </c>
      <c r="E342" s="4">
        <v>1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</row>
    <row r="343" ht="16.5" hidden="1" spans="1:35">
      <c r="A343" s="2" t="s">
        <v>72</v>
      </c>
      <c r="B343" s="2" t="s">
        <v>109</v>
      </c>
      <c r="C343" s="4">
        <v>1</v>
      </c>
      <c r="D343" s="2" t="s">
        <v>74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</row>
    <row r="344" ht="16.5" hidden="1" spans="1:35">
      <c r="A344" s="2" t="s">
        <v>76</v>
      </c>
      <c r="B344" s="2" t="s">
        <v>109</v>
      </c>
      <c r="C344" s="4">
        <v>1</v>
      </c>
      <c r="D344" s="2" t="s">
        <v>19</v>
      </c>
      <c r="E344" s="4">
        <v>1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</row>
    <row r="345" ht="16.5" hidden="1" spans="1:35">
      <c r="A345" s="2" t="s">
        <v>76</v>
      </c>
      <c r="B345" s="2" t="s">
        <v>109</v>
      </c>
      <c r="C345" s="4">
        <v>1</v>
      </c>
      <c r="D345" s="2" t="s">
        <v>74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</row>
    <row r="346" ht="16.5" hidden="1" spans="1:35">
      <c r="A346" s="2" t="s">
        <v>72</v>
      </c>
      <c r="B346" s="2" t="s">
        <v>110</v>
      </c>
      <c r="C346" s="4">
        <v>1</v>
      </c>
      <c r="D346" s="2" t="s">
        <v>19</v>
      </c>
      <c r="E346" s="4">
        <v>1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</row>
    <row r="347" ht="16.5" hidden="1" spans="1:35">
      <c r="A347" s="2" t="s">
        <v>72</v>
      </c>
      <c r="B347" s="2" t="s">
        <v>110</v>
      </c>
      <c r="C347" s="4">
        <v>1</v>
      </c>
      <c r="D347" s="2" t="s">
        <v>74</v>
      </c>
      <c r="E347" s="6">
        <v>1</v>
      </c>
      <c r="F347" s="2" t="s">
        <v>91</v>
      </c>
      <c r="G347" s="2" t="s">
        <v>91</v>
      </c>
      <c r="H347" s="2" t="s">
        <v>91</v>
      </c>
      <c r="I347" s="2" t="s">
        <v>91</v>
      </c>
      <c r="J347" s="2" t="s">
        <v>91</v>
      </c>
      <c r="K347" s="2" t="s">
        <v>91</v>
      </c>
      <c r="L347" s="2" t="s">
        <v>91</v>
      </c>
      <c r="M347" s="2" t="s">
        <v>91</v>
      </c>
      <c r="N347" s="2" t="s">
        <v>91</v>
      </c>
      <c r="O347" s="2" t="s">
        <v>91</v>
      </c>
      <c r="P347" s="2" t="s">
        <v>91</v>
      </c>
      <c r="Q347" s="2" t="s">
        <v>91</v>
      </c>
      <c r="R347" s="2" t="s">
        <v>91</v>
      </c>
      <c r="S347" s="2" t="s">
        <v>91</v>
      </c>
      <c r="T347" s="2" t="s">
        <v>91</v>
      </c>
      <c r="U347" s="2" t="s">
        <v>91</v>
      </c>
      <c r="V347" s="2" t="s">
        <v>91</v>
      </c>
      <c r="W347" s="2" t="s">
        <v>91</v>
      </c>
      <c r="X347" s="2" t="s">
        <v>91</v>
      </c>
      <c r="Y347" s="2" t="s">
        <v>91</v>
      </c>
      <c r="Z347" s="2" t="s">
        <v>91</v>
      </c>
      <c r="AA347" s="2" t="s">
        <v>91</v>
      </c>
      <c r="AB347" s="2" t="s">
        <v>91</v>
      </c>
      <c r="AC347" s="2" t="s">
        <v>91</v>
      </c>
      <c r="AD347" s="2" t="s">
        <v>91</v>
      </c>
      <c r="AE347" s="2" t="s">
        <v>91</v>
      </c>
      <c r="AF347" s="2" t="s">
        <v>91</v>
      </c>
      <c r="AG347" s="2" t="s">
        <v>91</v>
      </c>
      <c r="AH347" s="2" t="s">
        <v>91</v>
      </c>
      <c r="AI347" s="2" t="s">
        <v>91</v>
      </c>
    </row>
    <row r="348" ht="16.5" hidden="1" spans="1:35">
      <c r="A348" s="2" t="s">
        <v>103</v>
      </c>
      <c r="B348" s="2" t="s">
        <v>110</v>
      </c>
      <c r="C348" s="4">
        <v>1</v>
      </c>
      <c r="D348" s="2" t="s">
        <v>19</v>
      </c>
      <c r="E348" s="4">
        <v>1</v>
      </c>
      <c r="F348" s="4">
        <v>0</v>
      </c>
      <c r="G348" s="2" t="s">
        <v>91</v>
      </c>
      <c r="H348" s="2" t="s">
        <v>91</v>
      </c>
      <c r="I348" s="2" t="s">
        <v>91</v>
      </c>
      <c r="J348" s="2" t="s">
        <v>91</v>
      </c>
      <c r="K348" s="2" t="s">
        <v>91</v>
      </c>
      <c r="L348" s="2" t="s">
        <v>91</v>
      </c>
      <c r="M348" s="2" t="s">
        <v>91</v>
      </c>
      <c r="N348" s="2" t="s">
        <v>91</v>
      </c>
      <c r="O348" s="2" t="s">
        <v>91</v>
      </c>
      <c r="P348" s="2" t="s">
        <v>91</v>
      </c>
      <c r="Q348" s="2" t="s">
        <v>91</v>
      </c>
      <c r="R348" s="2" t="s">
        <v>91</v>
      </c>
      <c r="S348" s="2" t="s">
        <v>91</v>
      </c>
      <c r="T348" s="2" t="s">
        <v>91</v>
      </c>
      <c r="U348" s="2" t="s">
        <v>91</v>
      </c>
      <c r="V348" s="2" t="s">
        <v>91</v>
      </c>
      <c r="W348" s="2" t="s">
        <v>91</v>
      </c>
      <c r="X348" s="2" t="s">
        <v>91</v>
      </c>
      <c r="Y348" s="2" t="s">
        <v>91</v>
      </c>
      <c r="Z348" s="2" t="s">
        <v>91</v>
      </c>
      <c r="AA348" s="2" t="s">
        <v>91</v>
      </c>
      <c r="AB348" s="2" t="s">
        <v>91</v>
      </c>
      <c r="AC348" s="2" t="s">
        <v>91</v>
      </c>
      <c r="AD348" s="2" t="s">
        <v>91</v>
      </c>
      <c r="AE348" s="2" t="s">
        <v>91</v>
      </c>
      <c r="AF348" s="2" t="s">
        <v>91</v>
      </c>
      <c r="AG348" s="2" t="s">
        <v>91</v>
      </c>
      <c r="AH348" s="2" t="s">
        <v>91</v>
      </c>
      <c r="AI348" s="2" t="s">
        <v>91</v>
      </c>
    </row>
    <row r="349" ht="16.5" hidden="1" spans="1:35">
      <c r="A349" s="2" t="s">
        <v>103</v>
      </c>
      <c r="B349" s="2" t="s">
        <v>110</v>
      </c>
      <c r="C349" s="4">
        <v>1</v>
      </c>
      <c r="D349" s="2" t="s">
        <v>74</v>
      </c>
      <c r="E349" s="6">
        <v>1</v>
      </c>
      <c r="F349" s="6">
        <v>0</v>
      </c>
      <c r="G349" s="2" t="s">
        <v>91</v>
      </c>
      <c r="H349" s="2" t="s">
        <v>91</v>
      </c>
      <c r="I349" s="2" t="s">
        <v>91</v>
      </c>
      <c r="J349" s="2" t="s">
        <v>91</v>
      </c>
      <c r="K349" s="2" t="s">
        <v>91</v>
      </c>
      <c r="L349" s="2" t="s">
        <v>91</v>
      </c>
      <c r="M349" s="2" t="s">
        <v>91</v>
      </c>
      <c r="N349" s="2" t="s">
        <v>91</v>
      </c>
      <c r="O349" s="2" t="s">
        <v>91</v>
      </c>
      <c r="P349" s="2" t="s">
        <v>91</v>
      </c>
      <c r="Q349" s="2" t="s">
        <v>91</v>
      </c>
      <c r="R349" s="2" t="s">
        <v>91</v>
      </c>
      <c r="S349" s="2" t="s">
        <v>91</v>
      </c>
      <c r="T349" s="2" t="s">
        <v>91</v>
      </c>
      <c r="U349" s="2" t="s">
        <v>91</v>
      </c>
      <c r="V349" s="2" t="s">
        <v>91</v>
      </c>
      <c r="W349" s="2" t="s">
        <v>91</v>
      </c>
      <c r="X349" s="2" t="s">
        <v>91</v>
      </c>
      <c r="Y349" s="2" t="s">
        <v>91</v>
      </c>
      <c r="Z349" s="2" t="s">
        <v>91</v>
      </c>
      <c r="AA349" s="2" t="s">
        <v>91</v>
      </c>
      <c r="AB349" s="2" t="s">
        <v>91</v>
      </c>
      <c r="AC349" s="2" t="s">
        <v>91</v>
      </c>
      <c r="AD349" s="2" t="s">
        <v>91</v>
      </c>
      <c r="AE349" s="2" t="s">
        <v>91</v>
      </c>
      <c r="AF349" s="2" t="s">
        <v>91</v>
      </c>
      <c r="AG349" s="2" t="s">
        <v>91</v>
      </c>
      <c r="AH349" s="2" t="s">
        <v>91</v>
      </c>
      <c r="AI349" s="2" t="s">
        <v>91</v>
      </c>
    </row>
  </sheetData>
  <autoFilter xmlns:etc="http://www.wps.cn/officeDocument/2017/etCustomData" ref="A1:AI349" etc:filterBottomFollowUsedRange="0">
    <filterColumn colId="1">
      <filters>
        <filter val="1.2.6"/>
      </filters>
    </filterColumn>
    <filterColumn colId="3">
      <filters>
        <filter val="留存人数"/>
      </filters>
    </filterColumn>
    <sortState ref="A2:AI349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数据对比</vt:lpstr>
      <vt:lpstr>新增留存-iOS trash_全量数据_20250519_20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嘤novation</cp:lastModifiedBy>
  <dcterms:created xsi:type="dcterms:W3CDTF">2025-07-02T06:24:42Z</dcterms:created>
  <dcterms:modified xsi:type="dcterms:W3CDTF">2025-07-03T03:13:59Z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74A3FF4F64DA47FCB5E1DAB85DC8A883_13</vt:lpwstr>
  </property>
  <property fmtid="{D5CDD505-2E9C-101B-9397-08002B2CF9AE}" pid="3" name="KSOProductBuildVer">
    <vt:lpwstr>2052-12.1.0.21541</vt:lpwstr>
  </property>
</Properties>
</file>